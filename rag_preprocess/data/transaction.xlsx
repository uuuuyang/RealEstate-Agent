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nnections.xml" ContentType="application/vnd.openxmlformats-officedocument.spreadsheetml.connection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550" windowHeight="10080"/>
  </bookViews>
  <sheets>
    <sheet name="Clean" sheetId="2" r:id="rId1"/>
    <sheet name="金融服务" sheetId="1" r:id="rId2"/>
    <sheet name="专业服务" sheetId="3" r:id="rId3"/>
    <sheet name="零售" sheetId="4" r:id="rId4"/>
    <sheet name="科技互联网" sheetId="5" r:id="rId5"/>
    <sheet name="制造" sheetId="6" r:id="rId6"/>
  </sheets>
  <definedNames>
    <definedName name="_xlnm._FilterDatabase" localSheetId="1" hidden="1">金融服务!$A$1:$X$104</definedName>
    <definedName name="_xlnm._FilterDatabase" localSheetId="2" hidden="1">专业服务!$A$1:$X$99</definedName>
    <definedName name="_xlnm._FilterDatabase" localSheetId="3" hidden="1">零售!$A$1:$X$49</definedName>
    <definedName name="_xlnm._FilterDatabase" localSheetId="4" hidden="1">科技互联网!$A$1:$X$77</definedName>
    <definedName name="_xlnm._FilterDatabase" localSheetId="5" hidden="1">制造!$A$1:$X$64</definedName>
    <definedName name="_xlnm._FilterDatabase" localSheetId="0" hidden="1">Clean!$A$1:$AN$478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connection id="1" name="Query - 0905OriginInfo" description="Connection to the '0905OriginInfo' query in the workbook." type="5" background="1" refreshedVersion="2" saveData="1">
    <dbPr connection="Provider=Microsoft.Mashup.OleDb.1;Data Source=$Workbook$;Location=0905OriginInfo;Extended Properties=&quot;&quot;" command="SELECT * FROM [0905OriginInfo]" commandType="2"/>
  </connection>
</connections>
</file>

<file path=xl/sharedStrings.xml><?xml version="1.0" encoding="utf-8"?>
<sst xmlns="http://schemas.openxmlformats.org/spreadsheetml/2006/main" count="11533" uniqueCount="2019">
  <si>
    <t>Trasaction Date</t>
  </si>
  <si>
    <t>Dest_Building Name Local_REIS</t>
  </si>
  <si>
    <t>Dest_Submarket_CN</t>
  </si>
  <si>
    <t>Dest_District_CN</t>
  </si>
  <si>
    <t>Dest_CBD/DBD</t>
  </si>
  <si>
    <t>Dest_Effective Rent</t>
  </si>
  <si>
    <t>Tenant</t>
  </si>
  <si>
    <t>Third Category</t>
  </si>
  <si>
    <t>Secondary Sector</t>
  </si>
  <si>
    <t>Primary Sector</t>
  </si>
  <si>
    <t>Area</t>
  </si>
  <si>
    <t>Adjusted Area (sqm)</t>
  </si>
  <si>
    <t>Transaction Type</t>
  </si>
  <si>
    <t>Upgrade</t>
  </si>
  <si>
    <t>Origin_Address_Standard</t>
  </si>
  <si>
    <t>Origin_Submarket_CN</t>
  </si>
  <si>
    <t>Origin_District_CN</t>
  </si>
  <si>
    <t>Origin_Submarket_category_CN</t>
  </si>
  <si>
    <t>1188金融中心</t>
  </si>
  <si>
    <t>花木</t>
  </si>
  <si>
    <t>浦东新区</t>
  </si>
  <si>
    <t>Decentralised</t>
  </si>
  <si>
    <t>穗甬控股</t>
  </si>
  <si>
    <t>私募信托基金</t>
  </si>
  <si>
    <t>信托基金</t>
  </si>
  <si>
    <t>Financial Services</t>
  </si>
  <si>
    <t>Relocation</t>
  </si>
  <si>
    <t>上海市浦东新区陆家嘴街道生命人寿大厦</t>
  </si>
  <si>
    <t xml:space="preserve"> </t>
  </si>
  <si>
    <t>1788 国际中心</t>
  </si>
  <si>
    <t>南京西路</t>
  </si>
  <si>
    <t>静安区</t>
  </si>
  <si>
    <t>CBD</t>
  </si>
  <si>
    <t>西班牙总领事馆商务处
CONSULADO GRAL. DE ESPANA-OFICINA COMERCIAL</t>
  </si>
  <si>
    <t>领事馆/商会</t>
  </si>
  <si>
    <t>公共组织及协会</t>
  </si>
  <si>
    <t>Public Organization</t>
  </si>
  <si>
    <t>RL: Relocation with NO expansion</t>
  </si>
  <si>
    <t>上海市徐汇区湖南路街道金苑塞万提斯图书馆</t>
  </si>
  <si>
    <t>徐汇区</t>
  </si>
  <si>
    <t>333世纪大厦</t>
  </si>
  <si>
    <t>国金证券</t>
  </si>
  <si>
    <t>证券</t>
  </si>
  <si>
    <t>Relocation with Expansion</t>
  </si>
  <si>
    <t>上海市浦东新区花木街道芳甸路1080号紫竹国际大厦</t>
  </si>
  <si>
    <t>成熟商务区</t>
  </si>
  <si>
    <t>前滩四方城</t>
  </si>
  <si>
    <t>前滩</t>
  </si>
  <si>
    <t>Lianjia 链家地产</t>
  </si>
  <si>
    <t>房地产中介、咨询、估价与管理等服务</t>
  </si>
  <si>
    <t>Professional Services</t>
  </si>
  <si>
    <t>New Letting</t>
  </si>
  <si>
    <t>Not Upgrade</t>
  </si>
  <si>
    <t>上海市静安区南京西路街道东方众鑫大厦东方投资大厦</t>
  </si>
  <si>
    <t>核心商务区</t>
  </si>
  <si>
    <t>A.F.A上海融侨中心</t>
  </si>
  <si>
    <t>其他</t>
  </si>
  <si>
    <t>长宁区</t>
  </si>
  <si>
    <t>快牛智能</t>
  </si>
  <si>
    <t>科技金融</t>
  </si>
  <si>
    <t>上海市长宁区新泾镇淞虹路207号生命元山</t>
  </si>
  <si>
    <t>临空</t>
  </si>
  <si>
    <t>产业园区</t>
  </si>
  <si>
    <t>SK大厦</t>
  </si>
  <si>
    <t>后滩</t>
  </si>
  <si>
    <t>SK Tower agency fee (Tenant: 幂方资产管理)</t>
  </si>
  <si>
    <t>Relocation with NO expansion</t>
  </si>
  <si>
    <t>上海市黄浦区五里桥街道海珀·日晖黄浦绿地缤纷城(海外滩)</t>
  </si>
  <si>
    <t>黄浦区</t>
  </si>
  <si>
    <t>东海证券</t>
  </si>
  <si>
    <t>上海市浦东新区南码头路街道证券研究所东海证券大厦</t>
  </si>
  <si>
    <t>星瀚广场</t>
  </si>
  <si>
    <t>徐汇滨江</t>
  </si>
  <si>
    <t>榆心教育</t>
  </si>
  <si>
    <t>教育留学与移民服务</t>
  </si>
  <si>
    <t>relocation</t>
  </si>
  <si>
    <t>上海市宝山区高境镇上海良基科技经营有限公司安歆公寓</t>
  </si>
  <si>
    <t>宝山区</t>
  </si>
  <si>
    <t>嘉事明伦医疗器械</t>
  </si>
  <si>
    <t>医疗器械公司</t>
  </si>
  <si>
    <t>医药及生物科技</t>
  </si>
  <si>
    <t>Healthcare &amp; Life Sciences</t>
  </si>
  <si>
    <t>上海市黄浦区半淞园路街道马德里案例馆上海世博园</t>
  </si>
  <si>
    <t>浦西世博</t>
  </si>
  <si>
    <t>成长商务区</t>
  </si>
  <si>
    <t>飞观信息科技</t>
  </si>
  <si>
    <t>信息技术外包</t>
  </si>
  <si>
    <t>IT软件业</t>
  </si>
  <si>
    <t>TMT</t>
  </si>
  <si>
    <t>上海市静安区江宁路街道新城大厦新城大厦(江宁路)</t>
  </si>
  <si>
    <t>Agency fee SMA Solar Technology
艾思玛太阳能技术</t>
  </si>
  <si>
    <t>新能源（核能、光能、风能、氢能等）</t>
  </si>
  <si>
    <t>能源及采矿</t>
  </si>
  <si>
    <t>Energy, Environmental &amp; Public Utilities</t>
  </si>
  <si>
    <t>上海市浦东新区潍坊新村街道世纪汇一座</t>
  </si>
  <si>
    <t>竹园</t>
  </si>
  <si>
    <t>中央商务区</t>
  </si>
  <si>
    <t>Tesla</t>
  </si>
  <si>
    <t>汽车整车</t>
  </si>
  <si>
    <t>高端制造</t>
  </si>
  <si>
    <t>Manufacturing</t>
  </si>
  <si>
    <t>上海市浦东新区陆家嘴街道东方金融广场</t>
  </si>
  <si>
    <t>Agency fee
塑璞贸易</t>
  </si>
  <si>
    <t>国际贸易</t>
  </si>
  <si>
    <t>贸易</t>
  </si>
  <si>
    <t>Trading</t>
  </si>
  <si>
    <t>上海市浦东新区张江镇伽利略路11号伽利略商务公馆</t>
  </si>
  <si>
    <t>张江</t>
  </si>
  <si>
    <t>SK Tower agency fee (tenant: 欣巴自动化科技)</t>
  </si>
  <si>
    <t>企业解决方案/平台</t>
  </si>
  <si>
    <t>上海市普陀区长征镇云岭西路614号金环商务花园南园</t>
  </si>
  <si>
    <t>普陀区</t>
  </si>
  <si>
    <t>Simba Automation上海欣巴自动化科技</t>
  </si>
  <si>
    <t>上海市普陀区长征镇金环商务花园南园</t>
  </si>
  <si>
    <t>国华人寿金融大厦</t>
  </si>
  <si>
    <t>罗德会计师事务所</t>
  </si>
  <si>
    <t>会计/审计</t>
  </si>
  <si>
    <t>上海市浦东新区潍坊新村街道浦电路480号陆家嘴商务广场</t>
  </si>
  <si>
    <t>Donglan 东岚领先</t>
  </si>
  <si>
    <t>上海市青浦区香花桥街道盈顺路715号上海淀山湖总部基地</t>
  </si>
  <si>
    <t>青浦区</t>
  </si>
  <si>
    <t>SOHO复兴广场</t>
  </si>
  <si>
    <t>新天地</t>
  </si>
  <si>
    <t>卢湾区</t>
  </si>
  <si>
    <t>The Economist Group</t>
  </si>
  <si>
    <t>新闻和出版业</t>
  </si>
  <si>
    <t>文体娱乐</t>
  </si>
  <si>
    <t>Culture, Sports &amp; Entertainment</t>
  </si>
  <si>
    <t>上海市黄浦区瑞金二路街道瑞金大厦瑞金大厦(茂名南路)</t>
  </si>
  <si>
    <t>丁香国际中心</t>
  </si>
  <si>
    <t>Harvest Capital 稼沃资本</t>
  </si>
  <si>
    <t>上海市浦东新区潍坊新村街道北张家浜路128号上海陆家嘴金融贸易区经济发展促进中心(第二分中心)</t>
  </si>
  <si>
    <t>万硕大厦</t>
  </si>
  <si>
    <t>大连路</t>
  </si>
  <si>
    <t>杨浦区</t>
  </si>
  <si>
    <t>Zhongzhou Futures 中州期货</t>
  </si>
  <si>
    <t>期货</t>
  </si>
  <si>
    <t>其他传统金融业</t>
  </si>
  <si>
    <t>上海市浦东新区花木街道丁香路886号兴业证券大厦</t>
  </si>
  <si>
    <t>上海中心</t>
  </si>
  <si>
    <t>陆家嘴</t>
  </si>
  <si>
    <t>ANZ- Australia and New Zealand Banking Group</t>
  </si>
  <si>
    <t>银行</t>
  </si>
  <si>
    <t>上海市浦东新区陆家嘴街道未来资产大厦</t>
  </si>
  <si>
    <t>Pimco</t>
  </si>
  <si>
    <t>上海市浦东新区陆家嘴街道上海国金中心国金中心2期</t>
  </si>
  <si>
    <t>法兴银行</t>
  </si>
  <si>
    <t>上海市长宁区虹桥街道万都中心长宁区万都大厦</t>
  </si>
  <si>
    <t>虹桥</t>
  </si>
  <si>
    <t>虹桥天地5号楼</t>
  </si>
  <si>
    <t>虹桥交通枢纽商务区</t>
  </si>
  <si>
    <t>闵行区</t>
  </si>
  <si>
    <t>上海黑马房地产经纪有限公司</t>
  </si>
  <si>
    <t>上海市普陀区桃浦镇祁春路桃浦中央绿地C区</t>
  </si>
  <si>
    <t>美中贸易全国委员会上海代表处</t>
  </si>
  <si>
    <t>政府机构</t>
  </si>
  <si>
    <t>政府机构及平台公司</t>
  </si>
  <si>
    <t>上海市静安区静安寺街道静安中华大厦</t>
  </si>
  <si>
    <t>上海鹏盛建设集团有限公司</t>
  </si>
  <si>
    <t>建筑工程与安装</t>
  </si>
  <si>
    <t>建筑工程与基建</t>
  </si>
  <si>
    <t>Real Estate &amp; Architecture</t>
  </si>
  <si>
    <t>上海市普陀区宜川路街道中山北路1715号浦发广场E座</t>
  </si>
  <si>
    <t>金茂大厦</t>
  </si>
  <si>
    <t>陆同律师事务所</t>
  </si>
  <si>
    <t>律所</t>
  </si>
  <si>
    <t>上海市杨浦区大桥街道国家专利技术展示交易中心上海展示馆知兴大厦</t>
  </si>
  <si>
    <t>杨浦滨江</t>
  </si>
  <si>
    <t>信泰中心T1&amp;T2</t>
  </si>
  <si>
    <t>真如</t>
  </si>
  <si>
    <t>聚杰咨询</t>
  </si>
  <si>
    <t>管理咨询与调查</t>
  </si>
  <si>
    <t>上海市静安区共和新路街道沪太路国媒中心(上海国际新媒体产业基地)</t>
  </si>
  <si>
    <t>上海中海国际中心</t>
  </si>
  <si>
    <t>京瓷 KYOCERA</t>
  </si>
  <si>
    <t>其他对公工业产品制造（含代工厂）</t>
  </si>
  <si>
    <t>传统制造</t>
  </si>
  <si>
    <t>Relocation with NO Expansion</t>
  </si>
  <si>
    <t>上海市黄浦区南京东路街道创兴金融中心</t>
  </si>
  <si>
    <t>人民广场</t>
  </si>
  <si>
    <t>上海利園</t>
  </si>
  <si>
    <t>Bonus - Manulife-Sinochem Life Insurance 中宏人寿保险有限公司/中宏人寿保险有限公司上海分公司</t>
  </si>
  <si>
    <t>保险及经纪代理</t>
  </si>
  <si>
    <t>上海市黄浦区南京西路288号</t>
  </si>
  <si>
    <t>agency fee 
 国泰君安风险管理</t>
  </si>
  <si>
    <t>财富管理</t>
  </si>
  <si>
    <t>上海市静安区曹家渡街道三和大厦三和大厦(延平路)</t>
  </si>
  <si>
    <t>上海市虹口区西江湾路388号</t>
  </si>
  <si>
    <t>虹口区</t>
  </si>
  <si>
    <t>Manulife-Sinochem Life Insurance 中宏人寿保险有限公司/中宏人寿保险有限公司上海分公司</t>
  </si>
  <si>
    <t>上海市虹口区广中路街道鲍师傅糕点(虹口龙之梦店)凯德龙之梦A座</t>
  </si>
  <si>
    <t>上海市长宁区长宁路1139号</t>
  </si>
  <si>
    <t>中山公园</t>
  </si>
  <si>
    <t>H2G
桐瀚贸易</t>
  </si>
  <si>
    <t>上海市静安区江宁路街道李国弘现居陕西北路597弄小区</t>
  </si>
  <si>
    <t>汇全</t>
  </si>
  <si>
    <t>新材料</t>
  </si>
  <si>
    <t>上海市静安区南京西路街道东海广场涉外商务楼3号楼</t>
  </si>
  <si>
    <t>I.T 采廷商贸</t>
  </si>
  <si>
    <t>服饰、鞋包</t>
  </si>
  <si>
    <t>零售</t>
  </si>
  <si>
    <t>Retail</t>
  </si>
  <si>
    <t>上海市黄浦区南京东路街道云南中路都市总部大楼</t>
  </si>
  <si>
    <t>agency fee
库盈商贸</t>
  </si>
  <si>
    <t>Agency fee FS
飞速创新通信技术</t>
  </si>
  <si>
    <t>电信通讯&amp;5G设备生产及服务</t>
  </si>
  <si>
    <t>通信及相关制造</t>
  </si>
  <si>
    <t>Agency fee Telford
汇泉酒业</t>
  </si>
  <si>
    <t>批发商/经销商</t>
  </si>
  <si>
    <t>Lee Gardens agency fee (Tenant: Alcon 爱尔康)</t>
  </si>
  <si>
    <t>眼科、口腔类诊所</t>
  </si>
  <si>
    <t>医疗保健服务</t>
  </si>
  <si>
    <t>RLEXP: Relocation with expansion</t>
  </si>
  <si>
    <t>上海市黄浦区南京东路街道上海来福士广场</t>
  </si>
  <si>
    <t>上海国金中心2期</t>
  </si>
  <si>
    <t>瀚熙（上海）供应链管理有限公司</t>
  </si>
  <si>
    <t>上海市浦东新区陆家嘴街道新上海国际大厦</t>
  </si>
  <si>
    <t>瀚熙供应链</t>
  </si>
  <si>
    <t>上海环球港B座</t>
  </si>
  <si>
    <t>德龙电器（上海）有限公司</t>
  </si>
  <si>
    <t>上海市普陀区长风新村街道伸大厦</t>
  </si>
  <si>
    <t>上海环球金融中心</t>
  </si>
  <si>
    <t>韩华投资</t>
  </si>
  <si>
    <t>上海市浦东新区陆家嘴街道金茂大厦上海金茂君悦大酒店</t>
  </si>
  <si>
    <t>LyGH Capital 立格资本</t>
  </si>
  <si>
    <t>上海市浦东新区陆家嘴街道东亚银行金融大厦</t>
  </si>
  <si>
    <t>简文投资管理</t>
  </si>
  <si>
    <t>上海市浦东新区金桥镇东方万国企业中心C2栋IBC东方万国企业中心</t>
  </si>
  <si>
    <t>金桥</t>
  </si>
  <si>
    <t>外滩SOHO</t>
  </si>
  <si>
    <t>外滩</t>
  </si>
  <si>
    <t>北京冠领律所</t>
  </si>
  <si>
    <t>上海市普陀区真如镇街道双河绿地上海家园</t>
  </si>
  <si>
    <t>上海金融街中心一期</t>
  </si>
  <si>
    <t>上海火车站</t>
  </si>
  <si>
    <t>闸北区</t>
  </si>
  <si>
    <t>上海清华科技设备</t>
  </si>
  <si>
    <t>上海市静安区石门二路街道振安广场恒安大厦</t>
  </si>
  <si>
    <t>Vetreska</t>
  </si>
  <si>
    <t>日用家居用品</t>
  </si>
  <si>
    <t>Relocation with Contraction</t>
  </si>
  <si>
    <t>上海市长宁区天山路街道天山路1717号SOHO天山广场</t>
  </si>
  <si>
    <t xml:space="preserve">同程网络科技股份 </t>
  </si>
  <si>
    <t>O2O</t>
  </si>
  <si>
    <t>互联网服务平台</t>
  </si>
  <si>
    <t>New Setup</t>
  </si>
  <si>
    <t>上海市宝山区友谊路街道宝林八村友谊商务中心</t>
  </si>
  <si>
    <t>上海长宁国际发展广场</t>
  </si>
  <si>
    <t>丰年投资</t>
  </si>
  <si>
    <t>上海市浦东新区潍坊新村街道东方路969号上海中油阳光大酒店</t>
  </si>
  <si>
    <t>Huatai Securities 华泰证券股份有限公司上海浦东新区福山路证券营业部</t>
  </si>
  <si>
    <t>上海市浦东新区潍坊新村街道宏嘉大厦越秀大厦(福山路)</t>
  </si>
  <si>
    <t>泰尔茂株式会社</t>
  </si>
  <si>
    <t>上海市长宁区天山路街道玛阁来意大利餐厅(虹桥豪苑西北)虹桥南丰城C座</t>
  </si>
  <si>
    <t>上海乐麦网络</t>
  </si>
  <si>
    <t>电商</t>
  </si>
  <si>
    <t>上海市长宁区江苏路街道绿地商务绿地商务大厦</t>
  </si>
  <si>
    <t>小君科技</t>
  </si>
  <si>
    <t>上海市长宁区新泾镇正大生活馆长宁Art Park大融城</t>
  </si>
  <si>
    <t>Le Coq Sportif (Ningbo) Co., Ltd.
宁波乐卡克服饰有限公司</t>
  </si>
  <si>
    <t>上海市静安区天目西路街道不夜城电话局大厦</t>
  </si>
  <si>
    <t>唯渡网络</t>
  </si>
  <si>
    <t>上海市长宁区新泾镇1点点(建滔广场店)建滔商业广场中庭6号楼</t>
  </si>
  <si>
    <t>Trans Cosmos上海特朗思大宇宙信息技术服务有限公司</t>
  </si>
  <si>
    <t>上海市静安区共和新路街道新东方学校优能中学个性化中心新慧谷科技产业园</t>
  </si>
  <si>
    <t>大宁</t>
  </si>
  <si>
    <t>安泰能源</t>
  </si>
  <si>
    <t>上海市闵行区浦江镇苏召路</t>
  </si>
  <si>
    <t>泰莱生物</t>
  </si>
  <si>
    <t>生物科学（如基因、疫苗）</t>
  </si>
  <si>
    <t>上海市金山区山阳镇致盛金石湾·领墅</t>
  </si>
  <si>
    <t>金山区</t>
  </si>
  <si>
    <t>瑞虹企业天地</t>
  </si>
  <si>
    <t>嘉信立恒 - 无锡市斯卡伊物业服务有限公司</t>
  </si>
  <si>
    <t>上海市杨浦区平凉路街道光大安石中心</t>
  </si>
  <si>
    <t>世纪商贸广场</t>
  </si>
  <si>
    <t>淮海路</t>
  </si>
  <si>
    <t>LGC Science (Shanghai) Ltd.
艾吉桥科技（上海）有限公司</t>
  </si>
  <si>
    <t>上海市静安区石门二路街道华敏帝豪大厦上海静安瑞吉酒店</t>
  </si>
  <si>
    <t>世纪大都会</t>
  </si>
  <si>
    <t>概率投资</t>
  </si>
  <si>
    <t>星扬西岸中心</t>
  </si>
  <si>
    <t>盈科律师事务所</t>
  </si>
  <si>
    <t>上海市静安区天目西路街道宝矿洲际商务中心</t>
  </si>
  <si>
    <t xml:space="preserve">世纪汇1座 </t>
  </si>
  <si>
    <t>银华基金</t>
  </si>
  <si>
    <t>公募信托基金</t>
  </si>
  <si>
    <t>上海市浦东新区花木街道世纪大厦(兰花路)</t>
  </si>
  <si>
    <t>Vital Bridge 2705 
上海象洲投资管理有限公司/上海象启力弘咨询管理有限公司 2705</t>
  </si>
  <si>
    <t>上海市浦东新区陆家嘴街道时代金融中心</t>
  </si>
  <si>
    <t>非凸科技</t>
  </si>
  <si>
    <t>操作系统开发与软件维护</t>
  </si>
  <si>
    <t>上海市徐汇区虹梅路街道凯科国际大厦</t>
  </si>
  <si>
    <t>漕河泾</t>
  </si>
  <si>
    <t xml:space="preserve">世纪汇2座 </t>
  </si>
  <si>
    <t>Saxo Information Shanghai Co., Ltd 盛寶銀行</t>
  </si>
  <si>
    <t>上海市浦东新区塘桥街道鹿茉丝(陆家嘴软件园店)陆家嘴软件园</t>
  </si>
  <si>
    <t>弘尚投资</t>
  </si>
  <si>
    <t>上海市浦东新区潍坊新村街道东方希望大厦</t>
  </si>
  <si>
    <t>诚奇量化</t>
  </si>
  <si>
    <t>瓦洛兰投资</t>
  </si>
  <si>
    <t>上海市浦东新区陆家嘴街道鄂尔多斯国际大厦</t>
  </si>
  <si>
    <t>勤辰资产</t>
  </si>
  <si>
    <t>上海市静安区天目西路街道一天下大厦</t>
  </si>
  <si>
    <t>华闻传媒</t>
  </si>
  <si>
    <t>线下娱乐（展览&amp;演出）票务、策划、发行</t>
  </si>
  <si>
    <t>上海市徐汇区徐家汇街道上海电影广场C栋上海电影博物馆暨电影艺术研究所业务大楼</t>
  </si>
  <si>
    <t>Vital Bridge 2706-08 
上海象洲投资管理有限公司/上海象启力弘咨询管理有限公司 2706-08</t>
  </si>
  <si>
    <t>东亚银行金融大厦</t>
  </si>
  <si>
    <t>卡方科技</t>
  </si>
  <si>
    <t>上海市浦东新区陆家嘴街道商城路地铁站出入口陆家嘴中心</t>
  </si>
  <si>
    <t>Aviva-COFCO Life Insurance Co., Ltd. 
中英人寿保险有限公司上海分公司</t>
  </si>
  <si>
    <t>上海市浦东新区潍坊新村街道华润时代广场</t>
  </si>
  <si>
    <t>Petit Bateau</t>
  </si>
  <si>
    <t>奢侈品</t>
  </si>
  <si>
    <t>上海市闵行区虹桥镇万源路利丰广场</t>
  </si>
  <si>
    <t>东银中心</t>
  </si>
  <si>
    <t>BizConf
上海会畅通讯股份有限公司</t>
  </si>
  <si>
    <t>上海市浦东新区陆家嘴街道陆家嘴环路上海招商局大厦</t>
  </si>
  <si>
    <t>中企国际金融中心</t>
  </si>
  <si>
    <t>新民洋</t>
  </si>
  <si>
    <t>大地保险</t>
  </si>
  <si>
    <t>上海市浦东新区陆家嘴街道滨江大道富源置地广场</t>
  </si>
  <si>
    <t>东亚前海证券</t>
  </si>
  <si>
    <t>上海市浦东新区潍坊新村街道陆家嘴金控广场</t>
  </si>
  <si>
    <t>Lu反复念叨上海陆享基金销售有限公司</t>
  </si>
  <si>
    <t>上海市浦东新区潍坊新村街道东方路辅路世纪汇广场(商场)</t>
  </si>
  <si>
    <t>上海陆浦投资管理集团有限公司</t>
  </si>
  <si>
    <t>联储证券</t>
  </si>
  <si>
    <t>上海市浦东新区潍坊新村街道中国通信贸易大厦上海尊茂酒店</t>
  </si>
  <si>
    <t>Shanghai Banking Association 上海市银行同业公会</t>
  </si>
  <si>
    <t>非政府组织/行业协会</t>
  </si>
  <si>
    <t>上海市浦东新区塘桥街道由由世纪广场1号楼</t>
  </si>
  <si>
    <t>上海市银行业同业公会</t>
  </si>
  <si>
    <t>上海市浦东新区塘桥街道上海市银行同业公会由由世纪广场</t>
  </si>
  <si>
    <t>东方枢纽</t>
  </si>
  <si>
    <t>上海市徐汇区天平路街道汾阳路92号毕勋公寓</t>
  </si>
  <si>
    <t>金石舆富生物科技</t>
  </si>
  <si>
    <t>NS: New Setup</t>
  </si>
  <si>
    <t>上海市崇明区城桥镇上海崇明工业园区</t>
  </si>
  <si>
    <t>崇明区</t>
  </si>
  <si>
    <t>中信泰富广场</t>
  </si>
  <si>
    <t>Hisaka Works (China) Co., Ltd.</t>
  </si>
  <si>
    <t>机械器材制造</t>
  </si>
  <si>
    <t>中国人寿金融中心</t>
  </si>
  <si>
    <t>金钻律所</t>
  </si>
  <si>
    <t>上海市浦东新区陆家嘴街道尚悦湾广场GALA MALL</t>
  </si>
  <si>
    <t>世茂大厦</t>
  </si>
  <si>
    <t>铸达律所</t>
  </si>
  <si>
    <t>上海市浦东新区洋泾街道上海滩花园洋房(北区)上海滩花园洋房北区</t>
  </si>
  <si>
    <t>睐克商贸</t>
  </si>
  <si>
    <t>上海市嘉定区江桥镇沙河路341号上海西郊商务区A区</t>
  </si>
  <si>
    <t>嘉定区</t>
  </si>
  <si>
    <t>中国金融信息大厦</t>
  </si>
  <si>
    <t>中国经济信息社上海总部</t>
  </si>
  <si>
    <t>上海市徐汇区天平路街道新华通讯社(上海分社)华绮公寓</t>
  </si>
  <si>
    <t>中建大厦</t>
  </si>
  <si>
    <t>Bopu Fund 
深圳博普科技有限公司</t>
  </si>
  <si>
    <t>中海中心 A座&amp;B座</t>
  </si>
  <si>
    <t>迅猛龙</t>
  </si>
  <si>
    <t>汽车零部件及配套服务</t>
  </si>
  <si>
    <t>上海市普陀区真如镇街道上海复悦荟</t>
  </si>
  <si>
    <t>乐星LS</t>
  </si>
  <si>
    <t>上海市普陀区长风新村街道维乐教育全季酒店(上海长城大厦酒店)</t>
  </si>
  <si>
    <t>普陀LS</t>
  </si>
  <si>
    <t>中海中心 C座&amp;F座</t>
  </si>
  <si>
    <t>堂明文化</t>
  </si>
  <si>
    <t>MCN</t>
  </si>
  <si>
    <t>新媒体</t>
  </si>
  <si>
    <t>上海市普陀区石泉路街道岚皋路567号品尊国际中心B座</t>
  </si>
  <si>
    <t>工商银行总部大楼</t>
  </si>
  <si>
    <t>北京市中闻（上海）律师事务所</t>
  </si>
  <si>
    <t>上海市浦东新区陆家嘴街道华能联合大厦</t>
  </si>
  <si>
    <t>创兴金融中心</t>
  </si>
  <si>
    <t>启升文化</t>
  </si>
  <si>
    <t>上海市黄浦区南京东路街道西藏中路600号泛太平洋国际大厦</t>
  </si>
  <si>
    <t>VCAN 维迈科技</t>
  </si>
  <si>
    <t>AR/VR</t>
  </si>
  <si>
    <t>新兴科技互联网</t>
  </si>
  <si>
    <t>上海市普陀区真如镇街道绿洲长中大厦上海鸿海温斯顿酒店</t>
  </si>
  <si>
    <t>前滩世贸中心一期</t>
  </si>
  <si>
    <t>Clyde &amp; Co. Shanghai Representative Office 香港其礼律师事务所驻上海代表处</t>
  </si>
  <si>
    <t>辰金 Coworking</t>
  </si>
  <si>
    <t>创业空间/政府性质孵化器</t>
  </si>
  <si>
    <t>第三方办公服务运营</t>
  </si>
  <si>
    <t>3rd Party Office Operator</t>
  </si>
  <si>
    <t>上海市青浦区重固镇福定路377号康博佳苑</t>
  </si>
  <si>
    <t>中港汇静安</t>
  </si>
  <si>
    <t>Purple Tag Media Technology (Shanghai) Limited
六科多媒体科技</t>
  </si>
  <si>
    <t>上海市静安区天目西路街道恒通路318号凯德星贸大厦</t>
  </si>
  <si>
    <t>磐明律所</t>
  </si>
  <si>
    <t>上海市浦东新区陆家嘴街道上海证券大厦</t>
  </si>
  <si>
    <t>中环广场（淮海路）</t>
  </si>
  <si>
    <t>丰巢科技</t>
  </si>
  <si>
    <t>物联网</t>
  </si>
  <si>
    <t>上海市崇明区长兴镇临港长兴科技园长兴岛</t>
  </si>
  <si>
    <t>中美信托金融大厦</t>
  </si>
  <si>
    <t>北外滩</t>
  </si>
  <si>
    <t>杭州银行</t>
  </si>
  <si>
    <t>上海市黄浦区小东门街道中山东二路600号BFC外滩金融中心</t>
  </si>
  <si>
    <t>派嗨拜浪（上海）网络科技有限公司</t>
  </si>
  <si>
    <t>上海市杨浦区五角场街道万达广场写字楼A座万达广场A区</t>
  </si>
  <si>
    <t>新江湾城/五角场</t>
  </si>
  <si>
    <t>丽丰天际中心</t>
  </si>
  <si>
    <t>嘉里大通物流有限公司</t>
  </si>
  <si>
    <t>装卸搬运和运输代理</t>
  </si>
  <si>
    <t>物流运输</t>
  </si>
  <si>
    <t>Logistics &amp; Transportation</t>
  </si>
  <si>
    <t>上海市静安区天目西路街道民立路158号嘉里不夜城</t>
  </si>
  <si>
    <t>KiK International Sourcing (Shanghai)
简旖可国际贸易（上海）有限责任公司</t>
  </si>
  <si>
    <t>上海市静安区天目西路街道秣陵路汉庭酒店(上海火车站店)</t>
  </si>
  <si>
    <t>上海史卫珂霓商贸有限公司</t>
  </si>
  <si>
    <t>上海市静安区江宁路街道武定路和一大厦</t>
  </si>
  <si>
    <t>永达理保险</t>
  </si>
  <si>
    <t>上海市静安区天目西路街道恒丰路299号太阳CITY</t>
  </si>
  <si>
    <t>上海利唐信息科技有限公司</t>
  </si>
  <si>
    <t>上海市静安区彭浦镇上海信息服务外包产业园龙软万荣基地D</t>
  </si>
  <si>
    <t>市北</t>
  </si>
  <si>
    <t>Insun 映盛网络</t>
  </si>
  <si>
    <t>上海市徐汇区徐家汇街道城开国际大厦</t>
  </si>
  <si>
    <t>徐家汇</t>
  </si>
  <si>
    <t>育钦文化传播</t>
  </si>
  <si>
    <t>上海市嘉定区真新街道3131梅川商务园</t>
  </si>
  <si>
    <t>久光利福中心</t>
  </si>
  <si>
    <t>APL logistics</t>
  </si>
  <si>
    <t>邮政、快递、物流企业</t>
  </si>
  <si>
    <t>上海市静安区彭浦镇宝华国际广场</t>
  </si>
  <si>
    <t>Radiall 雷迪埃</t>
  </si>
  <si>
    <t>上海市静安区大宁路街道永和路390号上海东方环球企业园</t>
  </si>
  <si>
    <t>月胧吟</t>
  </si>
  <si>
    <t>游戏</t>
  </si>
  <si>
    <t>上海市静安区共和新路街道苏宁电器(沪太路二店)新华园</t>
  </si>
  <si>
    <t>高伟达</t>
  </si>
  <si>
    <t>上海市浦东新区潍坊新村街道新天国际大厦</t>
  </si>
  <si>
    <t>企业天地5号</t>
  </si>
  <si>
    <t>Man Investment Management (Shanghai) Co. Ltd 英仕曼（上海）投资管理有限公司</t>
  </si>
  <si>
    <t>上海市黄浦区南京东路街道来福士广场(西藏中路)上海来福士广场</t>
  </si>
  <si>
    <t>未来资产大厦</t>
  </si>
  <si>
    <t>上正恒泰律所</t>
  </si>
  <si>
    <t>上海市浦东新区陆家嘴街道上海证券大厦北塔</t>
  </si>
  <si>
    <t>艾柯医疗</t>
  </si>
  <si>
    <t>上海市闵行区吴泾镇紫星路588-1临港中国上海网络视听产业基地</t>
  </si>
  <si>
    <t>会德丰国际广场</t>
  </si>
  <si>
    <t>YSL</t>
  </si>
  <si>
    <t>化妆品</t>
  </si>
  <si>
    <t>上海市静安区南京西路街道静安嘉里中心2号楼静安嘉里中心办公楼二座</t>
  </si>
  <si>
    <t>亨汀敦金属</t>
  </si>
  <si>
    <t>金属冶炼制造</t>
  </si>
  <si>
    <t>上海市静安区南京西路街道恒隆广场上海恒隆广场</t>
  </si>
  <si>
    <t>Bonpoint 朋博湾</t>
  </si>
  <si>
    <t>上海市静安区石门二路街道梅龙镇广场</t>
  </si>
  <si>
    <t>Bonpoint</t>
  </si>
  <si>
    <t xml:space="preserve">BA&amp;SH (Shanghai) Trading Company Limited 巴安斯（上海）商贸 </t>
  </si>
  <si>
    <t>上海市徐汇区天平路街道上海轻科大厦</t>
  </si>
  <si>
    <t>GENESIS 捷尼赛斯</t>
  </si>
  <si>
    <t>上海市静安区南京西路街道香港兴业太古汇办公1期兴业太古汇香港兴业中心1座</t>
  </si>
  <si>
    <t>Bacardi</t>
  </si>
  <si>
    <t>烟酒</t>
  </si>
  <si>
    <t>上海市长宁区周家桥街道长宁路1189号长宁来福士</t>
  </si>
  <si>
    <t>时代金融中心</t>
  </si>
  <si>
    <t>中汇会计师事务所</t>
  </si>
  <si>
    <t>上海市浦东新区陆家嘴街道浦发大厦</t>
  </si>
  <si>
    <t>鸿寿坊</t>
  </si>
  <si>
    <t>长寿路</t>
  </si>
  <si>
    <t>松岚律所</t>
  </si>
  <si>
    <t>上海市普陀区长寿路街道聚香阁盛泉大厦</t>
  </si>
  <si>
    <t>保利浦开金融中心T1/T2</t>
  </si>
  <si>
    <t>源晗能源</t>
  </si>
  <si>
    <t>韬睿实业</t>
  </si>
  <si>
    <t>大宗商品、期货交易所</t>
  </si>
  <si>
    <t>交易所</t>
  </si>
  <si>
    <t>上海市浦东新区花木街道陆家嘴世纪金融广场</t>
  </si>
  <si>
    <t>旭辉企业天地</t>
  </si>
  <si>
    <t>申旭&amp;康辉旅行社</t>
  </si>
  <si>
    <t>旅行社</t>
  </si>
  <si>
    <t>上海市静安区江宁路街道洪安大厦</t>
  </si>
  <si>
    <t>凸版利丰</t>
  </si>
  <si>
    <t>广告公关</t>
  </si>
  <si>
    <t>上海市普陀区长风新村街道优衣库(环球港店)上海月星环球港</t>
  </si>
  <si>
    <t>凸版企业管理</t>
  </si>
  <si>
    <t>超韵石油化工</t>
  </si>
  <si>
    <t>化石燃料开采、加工及销售服务</t>
  </si>
  <si>
    <t>上海市长宁区新华路街道首信银都国际广场</t>
  </si>
  <si>
    <t>阳光滨江广场</t>
  </si>
  <si>
    <t>GIIKE 吉客</t>
  </si>
  <si>
    <t>上海市浦东新区陆家嘴街道世界广场全季酒店(上海陆家嘴世界广场店)</t>
  </si>
  <si>
    <t>LYNK &amp; CO 上海领克汽车科技有限公司</t>
  </si>
  <si>
    <t>上海市浦东新区祝桥镇金亭路1330号祝桥东港花苑三村</t>
  </si>
  <si>
    <t>保利西岸中心一期</t>
  </si>
  <si>
    <t>易船行</t>
  </si>
  <si>
    <t>上海市徐汇区斜土路街道尚海湾豪庭上海阳光滨江中心</t>
  </si>
  <si>
    <t>昊钰软件</t>
  </si>
  <si>
    <t>上海市普陀区长征镇天地软件园18座</t>
  </si>
  <si>
    <t>上海钱智信息技术有限公司</t>
  </si>
  <si>
    <t>上海市普陀区长风新村街道北岸·长风I幢北岸长风</t>
  </si>
  <si>
    <t>长风</t>
  </si>
  <si>
    <t>虹桥南丰城三期</t>
  </si>
  <si>
    <t>BC教育咨询（北京）有限公司上海分公司</t>
  </si>
  <si>
    <t>上海市静安区石门二路街道昌化路200号嘉地中心</t>
  </si>
  <si>
    <t>望海数据</t>
  </si>
  <si>
    <t>信息处理和存储支持</t>
  </si>
  <si>
    <t>上海市普陀区长征镇金沙江路1977号金环商务花园3号楼</t>
  </si>
  <si>
    <t>国民油井</t>
  </si>
  <si>
    <t>上海市普陀区长征镇绿洲中环中心</t>
  </si>
  <si>
    <t>青藤时代</t>
  </si>
  <si>
    <t>Agency Fee
:阿里斯顿热能产品（中国）有限公司</t>
  </si>
  <si>
    <t>上海市长宁区仙霞新村街道东方世纪大厦</t>
  </si>
  <si>
    <t>Dachser Shanghai Co., Ltd.
德莎国际货运代理</t>
  </si>
  <si>
    <t>上海市长宁区新泾镇傲梦网络科技大厦文洋大厦</t>
  </si>
  <si>
    <t>Agency Fee
WOLF 沃乐夫暖通设备（上海）有限公司</t>
  </si>
  <si>
    <t>上海市长宁区新泾镇虹桥东方国信商务广场(西南门)</t>
  </si>
  <si>
    <t>688广场</t>
  </si>
  <si>
    <t>塞浦路斯瑞拓律师事务所</t>
  </si>
  <si>
    <t>上海市浦东新区陆家嘴街道泰康保险大厦</t>
  </si>
  <si>
    <t>Agency Fee
Wanyang Group 万洋鸿海（上海）金属有限公司</t>
  </si>
  <si>
    <t>Wanyang Group
万洋鸿海（上海）金属有限公司</t>
  </si>
  <si>
    <t>苏河湾中心</t>
  </si>
  <si>
    <t>苏河湾</t>
  </si>
  <si>
    <t>NA</t>
  </si>
  <si>
    <t>国浩律所</t>
  </si>
  <si>
    <t>上海市静安区北京西路968号嘉地中心</t>
  </si>
  <si>
    <t>福满家</t>
  </si>
  <si>
    <t>上海市闵行区虹桥镇Harbor House(万象城吴中路店)万象城购物中心(吴中路店)</t>
  </si>
  <si>
    <t>吴中路</t>
  </si>
  <si>
    <t>Savino 胜威诺</t>
  </si>
  <si>
    <t>上海市黄浦区南京东路街道上海科技京城C区</t>
  </si>
  <si>
    <t>祥亚淳嘉信息科技</t>
  </si>
  <si>
    <t>上海市青浦区夏阳街道公园路舜浦大厦</t>
  </si>
  <si>
    <t>上海艾鲜文化传媒有限公司</t>
  </si>
  <si>
    <t>广播、电视、电影和影视录音制作业</t>
  </si>
  <si>
    <t>上海市金山区山阳镇伊丽莎白一站式婚礼宫殿海辰馨苑</t>
  </si>
  <si>
    <t>光大安石中心</t>
  </si>
  <si>
    <t>上海爱合威医疗科技有限公司 Argon</t>
  </si>
  <si>
    <t>上海市杨浦区新江湾城街道政立路489号凯德·国正中心</t>
  </si>
  <si>
    <t>凯德国正中心</t>
  </si>
  <si>
    <t>科技公司</t>
  </si>
  <si>
    <t>上海市杨浦区新江湾城街道天盛科创广场</t>
  </si>
  <si>
    <t>凯德晶萃广场</t>
  </si>
  <si>
    <t>小红书</t>
  </si>
  <si>
    <t>信息分享平台</t>
  </si>
  <si>
    <t>上海市黄浦区淮海中路街道淡水路303号SOHO复兴广场A座</t>
  </si>
  <si>
    <t>依考那贸易</t>
  </si>
  <si>
    <t>上海市黄浦区淮海中路街道博银国际大厦</t>
  </si>
  <si>
    <t>汇亚大厦</t>
  </si>
  <si>
    <t>上海大邦律师事务所
上海大邦知识产权代理有限公司
邦捷管理咨询（上海）有限公司</t>
  </si>
  <si>
    <t>上海市静安区南京西路街道中创大厦中创大厦(吴江路)</t>
  </si>
  <si>
    <t>凯滨国际大厦</t>
  </si>
  <si>
    <t>Spalding</t>
  </si>
  <si>
    <t>上海市徐汇区枫林路街道均瑶国际广场</t>
  </si>
  <si>
    <t>IPSOS</t>
  </si>
  <si>
    <t>东方证券股份有限公司</t>
  </si>
  <si>
    <t>上海市黄浦区小东门街道东方国际金融广场新源广场</t>
  </si>
  <si>
    <t>Garrigues 嘉理盖思</t>
  </si>
  <si>
    <t>深至科技</t>
  </si>
  <si>
    <t>上海市浦东新区陆家嘴街道福山路28号国际航运金融大厦</t>
  </si>
  <si>
    <t>前滩世贸中心三期</t>
  </si>
  <si>
    <t>明源云</t>
  </si>
  <si>
    <t>云服务</t>
  </si>
  <si>
    <t>上海市静安区石门二路街道山海关路388号博华广场</t>
  </si>
  <si>
    <t>前滩世贸中心二期</t>
  </si>
  <si>
    <t>开得阜管理 K.D. Fedderson</t>
  </si>
  <si>
    <t>上海市浦东新区陆家嘴街道渣打银行大厦</t>
  </si>
  <si>
    <t>前滩东方广场一期</t>
  </si>
  <si>
    <t>泰摩咖啡</t>
  </si>
  <si>
    <t>食品饮料</t>
  </si>
  <si>
    <t>上海市浦东新区三林镇创意汇北区万科2049五玠坊</t>
  </si>
  <si>
    <t>前滩中心</t>
  </si>
  <si>
    <t>Western Leadbank Fund Management Company Limited 西部利得基金管理有限公司</t>
  </si>
  <si>
    <t>上海市浦东新区三林镇耀体路276号晶耀前滩Crystal Plaza</t>
  </si>
  <si>
    <t>Novo Nordisk (Shanghai) Pharma Trading/Novo Nordisk (China) Pharmaceuticals
诺和诺德（上海）医药贸易/诺和诺德（中国）制药</t>
  </si>
  <si>
    <t>医药公司</t>
  </si>
  <si>
    <t>上海市徐汇区徐家汇街道港汇恒隆广场港汇中心2座</t>
  </si>
  <si>
    <t>水羊生物</t>
  </si>
  <si>
    <t>上海市徐汇区湖南路街道嘉华中心</t>
  </si>
  <si>
    <t>三星（中国）投资 上海分公司</t>
  </si>
  <si>
    <t>计算机、通信和其他电子设备制造</t>
  </si>
  <si>
    <t>黑芝麻芯片</t>
  </si>
  <si>
    <t>集成电路/半导体</t>
  </si>
  <si>
    <t>上海市浦东新区金桥镇明月路1257号金桥现代产业服务园区</t>
  </si>
  <si>
    <t>前滩信德中心</t>
  </si>
  <si>
    <t>Shun Tak agency fee (tenant: 浙江瀚叶股份)</t>
  </si>
  <si>
    <t>上海市浦东新区上钢新村街道中农投</t>
  </si>
  <si>
    <t>Mitutoyo 三丰精密量仪（上海）有限公司</t>
  </si>
  <si>
    <t>上海市浦东新区潍坊新村街道世纪大道1788-1800号陆家嘴金控广场</t>
  </si>
  <si>
    <t>Haisen Pharm 海森</t>
  </si>
  <si>
    <t>上海市黄浦区外滩街道北京东路270-1号中一大楼</t>
  </si>
  <si>
    <t>HEITAO 上海黑桃互动网络科技</t>
  </si>
  <si>
    <t>上海市浦东新区张江镇惠生中心</t>
  </si>
  <si>
    <t>Avantor 艾万拓</t>
  </si>
  <si>
    <t>上海市浦东新区高东镇美盛路225号上海外联发D11工业园区(美盛路)</t>
  </si>
  <si>
    <t>OTIS</t>
  </si>
  <si>
    <t>上海浦东新区东育路255弄4号前滩世贸中心1期A栋7楼</t>
  </si>
  <si>
    <t>AJ Securities 爱建证券</t>
  </si>
  <si>
    <t>上海市浦东新区潍坊新村街道陆家嘴商务广场</t>
  </si>
  <si>
    <t>通怡投资</t>
  </si>
  <si>
    <t>上海市静安区南京西路街道东海广场</t>
  </si>
  <si>
    <t>Siemens Energy 西门子能源</t>
  </si>
  <si>
    <t>电力设备制造与运营</t>
  </si>
  <si>
    <t>上海市闵行区浦江镇陈行公路2388号漕河泾浦江科技广场2号楼</t>
  </si>
  <si>
    <t>锦沧文华广场</t>
  </si>
  <si>
    <t>Rodd Hughes</t>
  </si>
  <si>
    <t>人力资源</t>
  </si>
  <si>
    <t>美ONE（李嘉琦）</t>
  </si>
  <si>
    <t>上海市长宁区新华路街道延安嘉苑</t>
  </si>
  <si>
    <t>前滩国际广场</t>
  </si>
  <si>
    <t>Dover</t>
  </si>
  <si>
    <t>上海市浦东新区三林镇前滩世贸中心前滩企业天地A座</t>
  </si>
  <si>
    <t>上海申置润实业合伙企业</t>
  </si>
  <si>
    <t>上海市浦东新区周家渡街道中建广场B座</t>
  </si>
  <si>
    <t>埃戈罗（上海）微电子商贸</t>
  </si>
  <si>
    <t>上海市徐汇区徐家汇街道斜土路2899-甲光启文化广场A楼</t>
  </si>
  <si>
    <t>BP (China) Holdings Limited
碧辟（中国）投资有限公司</t>
  </si>
  <si>
    <t>上海市浦东新区塘桥街道由由国际广场巴黎春天(浦建店)</t>
  </si>
  <si>
    <t xml:space="preserve">Baxter (China) Investment Co., Ltd. 百特（中国）投资 </t>
  </si>
  <si>
    <t>上海市徐汇区湖南路街道世纪商贸广场</t>
  </si>
  <si>
    <t>瑞慈</t>
  </si>
  <si>
    <t>体检、康复、母婴中心</t>
  </si>
  <si>
    <t>上海市静安区石门二路街道凯迪克大厦</t>
  </si>
  <si>
    <t>Schüco International (Beijing) Co., Ltd. Shanghai Branch
旭格国际建材（北京）有限公司</t>
  </si>
  <si>
    <t>建筑材料</t>
  </si>
  <si>
    <t>上海市长宁区江苏路街道宣化路42号舜元天地</t>
  </si>
  <si>
    <t>旭格国际</t>
  </si>
  <si>
    <t>上海市长宁区江苏路街道舜元企业发展大厦舜元天地</t>
  </si>
  <si>
    <t>Lixil (China) Investment Co., Ltd.
骊住(中国)投资有限公司 / 639.60sqm
美标(中国)有限公司 / 634.11sqm
高仪(上海)卫生洁具有限公司 / 558.96sqm</t>
  </si>
  <si>
    <t>上海市徐汇区虹梅路街道宝石园(西北门)</t>
  </si>
  <si>
    <t>福新汇</t>
  </si>
  <si>
    <t>苏富比 Sotheby's</t>
  </si>
  <si>
    <t>拍卖</t>
  </si>
  <si>
    <t>上海市静安区南京西路街道中信泰富广场</t>
  </si>
  <si>
    <t>前滩壹号</t>
  </si>
  <si>
    <t>Raute (Shanghai) Machinery Co., Ltd.</t>
  </si>
  <si>
    <t>上海市浦东新区惠南镇园中路588号艾郎风电科技发展(集团)有限公司</t>
  </si>
  <si>
    <t>北外滩来福士广场</t>
  </si>
  <si>
    <t>太平人寿</t>
  </si>
  <si>
    <t>上海市浦东新区陆家嘴街道银城中路中国太平金融大厦</t>
  </si>
  <si>
    <t>agency fee
Chentai Pharma 晨泰医药科技</t>
  </si>
  <si>
    <t>上海市黄浦区淮海中路街道新茂大厦</t>
  </si>
  <si>
    <t>博华广场</t>
  </si>
  <si>
    <t>Balenciaga Fashion Shanghai Co., Ltd. 巴黎世家贸易（上海）有限公司</t>
  </si>
  <si>
    <t>博荟广场</t>
  </si>
  <si>
    <t>Ocean Network Express（ONE） 日本海洋网联船务</t>
  </si>
  <si>
    <t>航空、水上、铁路、陆路客运</t>
  </si>
  <si>
    <t>上海市黄浦区打浦桥街道点都德(中海环宇荟店)中海国际中心</t>
  </si>
  <si>
    <t>LEK Consulting</t>
  </si>
  <si>
    <t>静安国际中心</t>
  </si>
  <si>
    <t>Edelman Group 爱德曼国际公关</t>
  </si>
  <si>
    <t>上海市静安区南京西路街道旺旺大厦</t>
  </si>
  <si>
    <t>中海信托</t>
  </si>
  <si>
    <t>上海市黄浦区五里桥街道蒙自路757-b2-d014号平安滨江金融中心</t>
  </si>
  <si>
    <t>国悦君安投资</t>
  </si>
  <si>
    <t>上海市虹口区四川北路街道盛邦国际大厦盛邦新里</t>
  </si>
  <si>
    <t>四川北路</t>
  </si>
  <si>
    <t>国悦君安资本</t>
  </si>
  <si>
    <t>上海市虹口区北外滩街道国际港务大厦</t>
  </si>
  <si>
    <t>桀新投资</t>
  </si>
  <si>
    <t>上海市虹口区北外滩街道海泰国际大厦桔子水晶上海外滩四川北路酒店</t>
  </si>
  <si>
    <t>健臻医疗</t>
  </si>
  <si>
    <t>上海市黄浦区淮海中路街道瑞安广场新天地广场</t>
  </si>
  <si>
    <t>医疗科技</t>
  </si>
  <si>
    <t>上海市黄浦区淮海中路街道上海广场</t>
  </si>
  <si>
    <t>拓领环球货运代理（北京）有限公司 上海分公司</t>
  </si>
  <si>
    <t>上海市黄浦区外滩街道旺角广场</t>
  </si>
  <si>
    <t>TOLL 拓领货运</t>
  </si>
  <si>
    <t>Seamaster Global 洋达货运</t>
  </si>
  <si>
    <t>美国风河</t>
  </si>
  <si>
    <t>上海市黄浦区南京东路街道新金桥广场</t>
  </si>
  <si>
    <t>爱德曼国际公关(中国)有限公司</t>
  </si>
  <si>
    <t>元位科技</t>
  </si>
  <si>
    <t>上海市静安区静安寺街道会德丰国际广场</t>
  </si>
  <si>
    <t>Axalta Coating Systems (Shanghai) Company Limited
艾仕得涂料系统（上海）有限公司</t>
  </si>
  <si>
    <t>上海市浦东新区张江镇展想广场2幢</t>
  </si>
  <si>
    <t>友邦金融中心</t>
  </si>
  <si>
    <t>CS Baoyun 豹云网络科技有限公司</t>
  </si>
  <si>
    <t>上海市虹口区北外滩街道四川北路865号中信广场</t>
  </si>
  <si>
    <t>CS 豹云网络科技</t>
  </si>
  <si>
    <t>上海市虹口区北外滩街道中信广场</t>
  </si>
  <si>
    <t>Tim hortons</t>
  </si>
  <si>
    <t>上海市黄浦区南京东路街道中区广场</t>
  </si>
  <si>
    <t>isoftstone 软通动力</t>
  </si>
  <si>
    <t>上海市宝山区高境镇高逸路80号上海北大科技园</t>
  </si>
  <si>
    <t>PATEO 博泰车联网</t>
  </si>
  <si>
    <t>上海市徐汇区徐家汇街道美罗城</t>
  </si>
  <si>
    <t>迅丰航</t>
  </si>
  <si>
    <t>上海市浦东新区航头镇航盛路19号大中物流</t>
  </si>
  <si>
    <t>古北SOHO</t>
  </si>
  <si>
    <t>Yokohama Tire</t>
  </si>
  <si>
    <t>上海市长宁区虹桥街道古北国际财富中心</t>
  </si>
  <si>
    <t>上海岂韵健康管理有限公司</t>
  </si>
  <si>
    <t>上海市长宁区天山路街道虹桥银城大厦</t>
  </si>
  <si>
    <t>吉汇大厦</t>
  </si>
  <si>
    <t xml:space="preserve">Scent Air
尚雅香薰技术（上海）有限公司 </t>
  </si>
  <si>
    <t>嘉华中心</t>
  </si>
  <si>
    <t>宝莱纳</t>
  </si>
  <si>
    <t>嘉地中心</t>
  </si>
  <si>
    <t>MIKIMOTO 御木本</t>
  </si>
  <si>
    <t>金银珠宝</t>
  </si>
  <si>
    <t>SanDisk Trading (Shanghai) Co., Ltd. 闪迪贸易（上海）有限公司</t>
  </si>
  <si>
    <t>上海市静安区静安寺街道Sabatini意大利餐厅会德丰国际广场</t>
  </si>
  <si>
    <t>Galeries Lafayette 老佛爷百货</t>
  </si>
  <si>
    <t>百货公司</t>
  </si>
  <si>
    <t>上海市黄浦区半淞园路街道如家快捷酒店(上海斜土东路店)上海东盛酒店</t>
  </si>
  <si>
    <t>嘉禾中心</t>
  </si>
  <si>
    <t>Brenntag 步朗德</t>
  </si>
  <si>
    <t>化工</t>
  </si>
  <si>
    <t>虹桥万科中心1期</t>
  </si>
  <si>
    <t>KPMG Huazhen LLP Shanghai Branch
毕马威华振会计师事务所（特殊普通合伙）上海分所</t>
  </si>
  <si>
    <t>西南期货</t>
  </si>
  <si>
    <t>上海市浦东新区潍坊新村街道长泰国际金融大厦长甲大厦</t>
  </si>
  <si>
    <t>国浩长风城二期</t>
  </si>
  <si>
    <t>新城控股关联金融公司</t>
  </si>
  <si>
    <t>房地产开发商</t>
  </si>
  <si>
    <t>房地产业</t>
  </si>
  <si>
    <t>上海市普陀区长风新村街道新城控股大厦A座</t>
  </si>
  <si>
    <t>Vanderlande</t>
  </si>
  <si>
    <t>自动化控制</t>
  </si>
  <si>
    <t>上海市普陀区长风新村街道丹巴路苏宁·天御国际广场</t>
  </si>
  <si>
    <t>汇证财经</t>
  </si>
  <si>
    <t>上海市普陀区长风新村街道绿城中国华东区域公司桃源π商业广场</t>
  </si>
  <si>
    <t>INNO DEALING 寰擎信息</t>
  </si>
  <si>
    <t>上海市长宁区新泾镇通协路268号IBP尚品都汇</t>
  </si>
  <si>
    <t>Nezha Auto</t>
  </si>
  <si>
    <t>上海市闵行区新虹街道唯品会(上海中骏办公区)中骏广场1期6号楼</t>
  </si>
  <si>
    <t>国浩长风城南座</t>
  </si>
  <si>
    <t>Vanderlande 范德兰德</t>
  </si>
  <si>
    <t>上海市普陀区长风新村街道龙裕财富中心</t>
  </si>
  <si>
    <t>史帝瑞Steris</t>
  </si>
  <si>
    <t>上海市黄浦区淮海中路街道香港新世界大厦上海k11购物艺术中心</t>
  </si>
  <si>
    <t>君澜律所</t>
  </si>
  <si>
    <t>上海市浦东新区潍坊新村街道安上烘焙ENCHANTE(世纪汇店)世纪汇广场(商场)</t>
  </si>
  <si>
    <t>willis towers watson 韦莱韬悦</t>
  </si>
  <si>
    <t>上海润时管理咨询合伙企业 (有限合伙 )</t>
  </si>
  <si>
    <t>城建国际中心</t>
  </si>
  <si>
    <t>上海科箭软件科技有限公司</t>
  </si>
  <si>
    <t>上海市徐汇区田林街道枫林国际·科创园</t>
  </si>
  <si>
    <t xml:space="preserve">春悦私募基金管理 </t>
  </si>
  <si>
    <t>上海市虹口区北外滩街道东大名路虹口北外滩开业园区</t>
  </si>
  <si>
    <t>UNISKIN 优时颜</t>
  </si>
  <si>
    <t>上海市静安区彭浦镇食其家·牛丼咖喱(华清大厦店)华清大厦</t>
  </si>
  <si>
    <t>冉得</t>
  </si>
  <si>
    <t>上海市静安区南京西路街道锦沧文华广场</t>
  </si>
  <si>
    <t>外滩金融中心</t>
  </si>
  <si>
    <t>智美颜和</t>
  </si>
  <si>
    <t>上海市黄浦区小东门街道久事大厦</t>
  </si>
  <si>
    <t>匈牙利驻沪领事馆</t>
  </si>
  <si>
    <t>上海市浦东新区潍坊新村街道世纪广场国华人寿金融大厦</t>
  </si>
  <si>
    <t>Syngenta</t>
  </si>
  <si>
    <t>农林牧渔生产</t>
  </si>
  <si>
    <t>农林牧渔</t>
  </si>
  <si>
    <t>Agriculture</t>
  </si>
  <si>
    <t>上海市浦东新区上钢新村街道博成路567号世博发展集团大厦</t>
  </si>
  <si>
    <t>浦东世博</t>
  </si>
  <si>
    <t>大华银行大厦</t>
  </si>
  <si>
    <t>安行天下保险</t>
  </si>
  <si>
    <t>上海市浦东新区洋泾街道华辰金融大厦</t>
  </si>
  <si>
    <t>渤海汇金证券资产管理 上海分公司</t>
  </si>
  <si>
    <t>上海市黄浦区小东门街道白茸(BFC外滩金融中心店)BFC外滩金融中心北区</t>
  </si>
  <si>
    <t>大宁国际商务广场</t>
  </si>
  <si>
    <t>CareFusion (Shanghai) Commercial and Trading Co., Ltd</t>
  </si>
  <si>
    <t>上海市浦东新区三林镇Luneurs(前滩企业天地店)陆悦汇</t>
  </si>
  <si>
    <t>太平洋新天地商业中心T2</t>
  </si>
  <si>
    <t>上海国际仲裁委员会</t>
  </si>
  <si>
    <t>上海市黄浦区南京东路街道金陵大厦金陵大厦(金陵西路)</t>
  </si>
  <si>
    <t>诺港商务咨询</t>
  </si>
  <si>
    <t>上海市青浦区华新镇上海薇卡拉的的家公寓(2号店)西郊半岛名苑</t>
  </si>
  <si>
    <t>百济神州</t>
  </si>
  <si>
    <t>上海市静安区南京西路街道静安嘉里中心</t>
  </si>
  <si>
    <t>富源广场1号楼</t>
  </si>
  <si>
    <t>HYGEIA 海吉亚医疗</t>
  </si>
  <si>
    <t>上海市静安区天目西路街道企业广场企业广场(梅园路)</t>
  </si>
  <si>
    <t>尚嘉中心</t>
  </si>
  <si>
    <t>sws group</t>
  </si>
  <si>
    <t>家装设计、装修</t>
  </si>
  <si>
    <t>上海市普陀区长风新村街道国盛中心(云岭东路)国浩长风城</t>
  </si>
  <si>
    <t>尚浦领世F1-c T1/2/3</t>
  </si>
  <si>
    <t>NCS (China) Co., Ltd
恩士迅信息科技（中国）有限责任公司</t>
  </si>
  <si>
    <t>上海市杨浦区五角场街道创智天地广场1号楼</t>
  </si>
  <si>
    <t>中咨律所</t>
  </si>
  <si>
    <t>上海市浦东新区潍坊新村街道中国电建河北省电力勘测设计研究院(上海分院)东方大厦(向城路)</t>
  </si>
  <si>
    <t>红塔证券</t>
  </si>
  <si>
    <t>建工大唐国际广场</t>
  </si>
  <si>
    <t>千鑫点信息咨询服务有限公司</t>
  </si>
  <si>
    <t>上海市金山区朱泾镇沈浦泾路28号凯莱帝金广场</t>
  </si>
  <si>
    <t>徐家汇中心三期A座</t>
  </si>
  <si>
    <t>Zespri 佳沛奇异果</t>
  </si>
  <si>
    <t>AIRWAIR INTL. LTD (Dr. Martens)
上海埃尔瓦贸易有限公司</t>
  </si>
  <si>
    <t>上海市徐汇区徐家汇街道港汇恒隆广场上海港汇恒隆广场</t>
  </si>
  <si>
    <t>云峰基金</t>
  </si>
  <si>
    <t>上海市静安区静安寺街道越洋国际广场越洋广场</t>
  </si>
  <si>
    <t>Mega Gravity Communication Co., Ltd.
上海众引文化传播股份有限公司</t>
  </si>
  <si>
    <t>上海市黄浦区淮海中路街道柳林大厦</t>
  </si>
  <si>
    <t>三星时尚</t>
  </si>
  <si>
    <t>上海市长宁区华阳路街道龙之梦购物中心龙之梦城市生活中心(长宁店)</t>
  </si>
  <si>
    <t>MSD 默沙东</t>
  </si>
  <si>
    <t>上海市徐汇区虹梅路街道默沙东</t>
  </si>
  <si>
    <t>DragonCor
上海龙地商业管理</t>
  </si>
  <si>
    <t>商务中心</t>
  </si>
  <si>
    <t>上海市闵行区莘庄镇顾戴路维璟中心</t>
  </si>
  <si>
    <t>莘庄</t>
  </si>
  <si>
    <t>徐汇万科中心2期</t>
  </si>
  <si>
    <t>上海南站</t>
  </si>
  <si>
    <t>江苏索能达</t>
  </si>
  <si>
    <t>上海市闵行区马桥镇元江路5500号</t>
  </si>
  <si>
    <t>徐汇万科中心三期T1/2</t>
  </si>
  <si>
    <t>淘米</t>
  </si>
  <si>
    <t>上海市徐汇区虹梅路街道紫藤摘漕河泾现代服务业园区</t>
  </si>
  <si>
    <t>徐汇万科中心三期T3</t>
  </si>
  <si>
    <t>Harman International (China) Holdings Co., Ltd. 哈曼（中国）投资有限公司</t>
  </si>
  <si>
    <t>恒基名人商业大厦</t>
  </si>
  <si>
    <t>乐元素 Happy Element</t>
  </si>
  <si>
    <t>上海市黄浦区外滩街道宏伊国际广场宏伊国际广场(南京东路)</t>
  </si>
  <si>
    <t>陆家嘴滨江中心</t>
  </si>
  <si>
    <t>信公咨询</t>
  </si>
  <si>
    <t>恒汇国际大厦</t>
  </si>
  <si>
    <t>上海欣兆阳信息科技有限公司Convertlab</t>
  </si>
  <si>
    <t>上海市徐汇区龙华街道龙耀路175号极氪E创空间</t>
  </si>
  <si>
    <t>恒生银行大厦</t>
  </si>
  <si>
    <t>Zhouqiao
上海洲桥航运咨询有限公司</t>
  </si>
  <si>
    <t>Mitsubishi Corporation LT
三菱商事物流（上海）有限公司</t>
  </si>
  <si>
    <t>富士通</t>
  </si>
  <si>
    <t>上海市浦东新区潍坊新村街道世纪大道1237号浦东世纪大都会</t>
  </si>
  <si>
    <t>AZ Investment</t>
  </si>
  <si>
    <t>上海市浦东新区陆家嘴街道中融·碧玉蓝天中融碧玉蓝天大厦</t>
  </si>
  <si>
    <t>Commonwealth Bank</t>
  </si>
  <si>
    <t>上海市浦东新区陆家嘴街道汇亚大厦</t>
  </si>
  <si>
    <t>Commonwealth Bank of Australia Shanghai Branch . 
澳大利亚澳洲联邦银行公众股份有限公司上海分行</t>
  </si>
  <si>
    <t>无限极大厦</t>
  </si>
  <si>
    <t>Hugo Boss</t>
  </si>
  <si>
    <t>whole floor</t>
  </si>
  <si>
    <t>IMAX (Shanghai) Multimedia Technology Co., Ltd
爱麦克斯（上海）多媒体技术有限公司</t>
  </si>
  <si>
    <t>上海市静安区静安寺街道舒童(久光百货店)久光百货</t>
  </si>
  <si>
    <t>日月光中心</t>
  </si>
  <si>
    <t xml:space="preserve">QZ Dream  上海千织护理用品 </t>
  </si>
  <si>
    <t>上海市虹口区北外滩街道东长治路359号双狮汇大厦</t>
  </si>
  <si>
    <t>上海全辉律所</t>
  </si>
  <si>
    <t>上海市静安区南京西路街道科恩国际中心</t>
  </si>
  <si>
    <t>Wayfair Shanghai Ltd. 唯居汇</t>
  </si>
  <si>
    <t>上海市黄浦区打浦桥街道中海环宇荟中海国际中心</t>
  </si>
  <si>
    <t>邦信阳中建中汇</t>
  </si>
  <si>
    <t>上海市黄浦区小东门街道会馆弄金外滩国际广场</t>
  </si>
  <si>
    <t>法兰信息科技</t>
  </si>
  <si>
    <t>上海市浦东新区潍坊新村街道世纪大道1251号浦东世纪大都会</t>
  </si>
  <si>
    <t>ABeam Consulting</t>
  </si>
  <si>
    <t>国银金融</t>
  </si>
  <si>
    <t>融资担保租赁</t>
  </si>
  <si>
    <t>念空投资</t>
  </si>
  <si>
    <t>上海市静安区天目西路街道恒通路151号苏河湾大厦</t>
  </si>
  <si>
    <t>前海开源基金上海分公司</t>
  </si>
  <si>
    <t>锐天投资</t>
  </si>
  <si>
    <t>上海市徐汇区龙华街道汉堡王(东航·滨江中心T3座店)东航·滨江中心T3座</t>
  </si>
  <si>
    <t>Allegro
诶戈罗</t>
  </si>
  <si>
    <t>上海市徐汇区徐家汇街道影业街光启文化广场</t>
  </si>
  <si>
    <t>上海孚厘科技有限公司</t>
  </si>
  <si>
    <t>赫富投资</t>
  </si>
  <si>
    <t>上海市黄浦区外滩街道腾飞浦汇大厦华设大厦</t>
  </si>
  <si>
    <t>Roland Berger</t>
  </si>
  <si>
    <t>上海市静安区南京西路街道南京西路1515号静安香格里拉大酒店</t>
  </si>
  <si>
    <t xml:space="preserve">
Hogan Lovells International LLP Shanghai Representative Office
霍金路伟国际律师事务所驻上海代表处</t>
  </si>
  <si>
    <t>PayPal
贝宝支付</t>
  </si>
  <si>
    <t>上海市浦东新区陆家嘴街道商城路510号新梅联合广场</t>
  </si>
  <si>
    <t>上海复容投资有限公司</t>
  </si>
  <si>
    <t>上海市浦东新区花木街道兰花路333号世纪大厦(兰花路)</t>
  </si>
  <si>
    <t>CBRE</t>
  </si>
  <si>
    <t>上海市静安区静安寺街道越洋国际广场芮欧百货</t>
  </si>
  <si>
    <t xml:space="preserve">上海煦珹私募基金管理 </t>
  </si>
  <si>
    <t>上海市浦东新区浦兴路街道融创精彩天地</t>
  </si>
  <si>
    <t>WME | IMG China Culture Development 巍美文化</t>
  </si>
  <si>
    <t>上海市徐汇区湖南路街道陕西南路地铁站7号口环贸iapm商场</t>
  </si>
  <si>
    <t>淳博传媒</t>
  </si>
  <si>
    <t>上海市长宁区华阳路街道春秋国旅总部办公楼春秋国际大厦</t>
  </si>
  <si>
    <t>越秀大厦</t>
  </si>
  <si>
    <t>邦耀律所</t>
  </si>
  <si>
    <t>上海市浦东新区潍坊新村街道城建国际中心</t>
  </si>
  <si>
    <t>虹桥天地3号楼</t>
  </si>
  <si>
    <t>Ricc &amp; Co.
上海星瀚律师事务所</t>
  </si>
  <si>
    <t>上海市长宁区新泾镇FOODBOWL超级碗(凌空SOHO店)(装修中)Skybridge HQ天会</t>
  </si>
  <si>
    <t>White Horse
海南白马广告媒体投资有限公司上海分公司
白马（上海）投资有限公司</t>
  </si>
  <si>
    <t>上海市黄浦区淮海中路街道中环广场</t>
  </si>
  <si>
    <t>中宠集团</t>
  </si>
  <si>
    <t>上海市浦东新区花木街道浦东嘉里城嘉里城广场</t>
  </si>
  <si>
    <t>新榜KOL</t>
  </si>
  <si>
    <t>上海市徐汇区龙华街道绿地·汇中心B座</t>
  </si>
  <si>
    <t>Cyclone 上海弘玑信息技术有限公司</t>
  </si>
  <si>
    <t>上海市徐汇区斜土路街道保利·西岸中心保利时光里</t>
  </si>
  <si>
    <t>港汇中心2座</t>
  </si>
  <si>
    <t xml:space="preserve">北京睿意德商业股份有限公司上海分公司
北京新中商数据科技有限公司上海分公司  </t>
  </si>
  <si>
    <t>宝马（中国）服务有限公司 BMW China Services Ltd.</t>
  </si>
  <si>
    <t>上海市虹口区北外滩街道上海白玉兰广场上海白玉兰广场购物中心</t>
  </si>
  <si>
    <t>宝可啦</t>
  </si>
  <si>
    <t>上海市浦东新区张江镇金科路2891号上海长泰广场</t>
  </si>
  <si>
    <t>Reid &amp; Wise LLC Shanghai Representative Office
美国锐明文泽律师事务所住上海代表处</t>
  </si>
  <si>
    <t>星荟中心</t>
  </si>
  <si>
    <t>好锦</t>
  </si>
  <si>
    <t>上海市普陀区长寿路街道华生大厦1号楼华生大厦(澳门路)</t>
  </si>
  <si>
    <t>锐锢电商</t>
  </si>
  <si>
    <t>上海市杨浦区新江湾城街道殷行路1286号悠方购物中心</t>
  </si>
  <si>
    <t>上海钱智金融信息服务有限公司</t>
  </si>
  <si>
    <t>来福士广场</t>
  </si>
  <si>
    <t>Uhlmann Packaging Systems
乌曼包装技术</t>
  </si>
  <si>
    <t>上海市黄浦区淮海中路街道西藏南路永银大厦</t>
  </si>
  <si>
    <t>宣亚国际</t>
  </si>
  <si>
    <t>汇丰银行大楼</t>
  </si>
  <si>
    <t>AXA XL Reinsurance</t>
  </si>
  <si>
    <t>上海市浦东新区陆家嘴街道银城路117号瑞明大厦</t>
  </si>
  <si>
    <t>上海长宁国际发展广场 1号楼</t>
  </si>
  <si>
    <t>望钥管理咨询</t>
  </si>
  <si>
    <t>上海市长宁区北新泾街道天山路8-18号兆益科技园</t>
  </si>
  <si>
    <t>Natixis Shanghai Branch 法国外贸银行股份有限公司上海分行</t>
  </si>
  <si>
    <t>上海市浦东新区陆家嘴街道恒生银行大厦</t>
  </si>
  <si>
    <t>Hai Run Law Firm
北京海润天睿（上海）律师事务所</t>
  </si>
  <si>
    <t>上海市长宁区周家桥街道长宁来福士东区</t>
  </si>
  <si>
    <t>CCTIC 中诚信托有限责任公司</t>
  </si>
  <si>
    <t>洲际中心</t>
  </si>
  <si>
    <t>SportFive</t>
  </si>
  <si>
    <t>体育</t>
  </si>
  <si>
    <t>上海市静安区石门二路街道月奇涮肉(恒基688广场店)恒基688广场</t>
  </si>
  <si>
    <t>浦江国际金融中心</t>
  </si>
  <si>
    <t>LC Securities 联储证券上海分公司</t>
  </si>
  <si>
    <t>上海市浦东新区陆家嘴街道富士康大厦</t>
  </si>
  <si>
    <t>海粟文化广场</t>
  </si>
  <si>
    <t>HESAI</t>
  </si>
  <si>
    <t>无人机/无人车</t>
  </si>
  <si>
    <t>上海市宝山区高境镇名尚汽车华东店逸仙华庭</t>
  </si>
  <si>
    <t>The Summit agency fee (tenant: 海润天睿律所)</t>
  </si>
  <si>
    <t>上海市长宁区周家桥街道长宁路1199号长宁来福士</t>
  </si>
  <si>
    <t>港汇中心1座</t>
  </si>
  <si>
    <t>Maia Active (Shanghai) Co., Ltd 
玛伊娅服饰(上海)有限公司</t>
  </si>
  <si>
    <t>Relocation with expansion</t>
  </si>
  <si>
    <t>上海市徐汇区徐家汇街道大地大楼唯庭酒店(上海徐家汇交大店)</t>
  </si>
  <si>
    <t>Firewalla</t>
  </si>
  <si>
    <t>上海市普陀区长风新村街道臣风大厦上海科技金融产业集聚区</t>
  </si>
  <si>
    <t>毅璞</t>
  </si>
  <si>
    <t>上海市闵行区颛桥镇新源路中科园</t>
  </si>
  <si>
    <t xml:space="preserve">上海华桑电子零件贸易 </t>
  </si>
  <si>
    <t>上海市黄浦区瑞金二路街道永新大厦</t>
  </si>
  <si>
    <t>Merits &amp; Tree LLP
北京植德（上海）律师事务所</t>
  </si>
  <si>
    <t>源点大厦</t>
  </si>
  <si>
    <t>右来了科技</t>
  </si>
  <si>
    <t>上海市徐汇区枫林路街道中粮大厦宝溢丰大厦</t>
  </si>
  <si>
    <t>国麦文化传媒</t>
  </si>
  <si>
    <t>上海市徐汇区田林街道古宜路182号徐虹公寓</t>
  </si>
  <si>
    <t>Renault</t>
  </si>
  <si>
    <t>上海市虹口区北外滩街道东长治路588号上海白玉兰广场购物中心</t>
  </si>
  <si>
    <t>滨江万科中心</t>
  </si>
  <si>
    <t>星杰装饰</t>
  </si>
  <si>
    <t>上海市闵行区浦锦街道星杰国际设计(闵行分公司)</t>
  </si>
  <si>
    <t>环智国际大厦</t>
  </si>
  <si>
    <t>国泰航空</t>
  </si>
  <si>
    <t>上海市静安区静安寺街道1788国际中心1788广场</t>
  </si>
  <si>
    <t>瑞安广场</t>
  </si>
  <si>
    <t>Kimberly Clark</t>
  </si>
  <si>
    <t>上海市黄浦区淮海中路街道复兴天地中心</t>
  </si>
  <si>
    <t>Harry Winston</t>
  </si>
  <si>
    <t>上海市静安区南京西路街道南京西路109号兴业太古汇</t>
  </si>
  <si>
    <t>RHCA agency fee (tenant: 冠亚物流)</t>
  </si>
  <si>
    <t>上海市杨浦区江浦路街道宝地广场B座</t>
  </si>
  <si>
    <t xml:space="preserve"> 田泽国际货运代理</t>
  </si>
  <si>
    <t>上海市虹口区嘉兴路街道物华路288号爱家国际大厦</t>
  </si>
  <si>
    <t>Shanghai Hua'En Food
上海华恩食品贸易有限公司</t>
  </si>
  <si>
    <t>上海市虹口区北外滩街道新外滩花苑(金岸大厦西南)</t>
  </si>
  <si>
    <t>贡才人力资源</t>
  </si>
  <si>
    <t>上海市闵行区华漕镇闵北路坤赢旭华商务广场</t>
  </si>
  <si>
    <t>麦兰威典(上海)国际货运代理有限公司</t>
  </si>
  <si>
    <t>上海市杨浦区平凉路街道上海旭飞羽毛球俱乐部光大安石中心</t>
  </si>
  <si>
    <t>多羽科技</t>
  </si>
  <si>
    <t>上海市虹口区四川北路街道四川北路多伦生活广场(四川北路商业街店)</t>
  </si>
  <si>
    <t>松下</t>
  </si>
  <si>
    <t>上海市虹口区吴淞路575号</t>
  </si>
  <si>
    <t>RHCA agency fee (Tenant: Panasonic )</t>
  </si>
  <si>
    <t>上海市虹口区四川北路街道吉汇大厦</t>
  </si>
  <si>
    <t>纷享驿生信息科技</t>
  </si>
  <si>
    <t>上海市虹口区广中路街道上海新永盛门窗装饰公司近铁虹口金融产业园</t>
  </si>
  <si>
    <t>RHCA agency fee (tenant: 索秉（上海）商贸 )</t>
  </si>
  <si>
    <t>上海市浦东新区潍坊新村街道双鸽大厦</t>
  </si>
  <si>
    <t>RHCA agency fee (tenant: CCB Life 建信人寿保险上海分公司)</t>
  </si>
  <si>
    <t>上海市杨浦区平凉路街道燕舞·东方保利广场</t>
  </si>
  <si>
    <t>民生保险上海分公司</t>
  </si>
  <si>
    <t>上海市虹口区北外滩街道虹口科技金融大厦</t>
  </si>
  <si>
    <t>上海康司爪深科技</t>
  </si>
  <si>
    <t>上海市宝山区杨行镇铁力路785号吴淞·泗塘生态产业园</t>
  </si>
  <si>
    <t>白玉兰广场</t>
  </si>
  <si>
    <t>纬景储能</t>
  </si>
  <si>
    <t>上海市杨浦区大桥街道杨树浦路杨浦滨江</t>
  </si>
  <si>
    <t>兴通万邦航运</t>
  </si>
  <si>
    <t>上海市浦东新区三林镇东育路255号前滩企业天地A座</t>
  </si>
  <si>
    <t>博禄贸易</t>
  </si>
  <si>
    <t>上海市浦东新区张江镇盛夏路张江光大园写字楼</t>
  </si>
  <si>
    <t>中创工程物流有限公司</t>
  </si>
  <si>
    <t>上海市闵行区新虹街道虹桥万科中心</t>
  </si>
  <si>
    <t>盛邦国际大厦</t>
  </si>
  <si>
    <t>葆妍生物</t>
  </si>
  <si>
    <t>上海市奉贤区奉浦街道南桥环城东路255号上海华怡云居酒店</t>
  </si>
  <si>
    <t>奉贤区</t>
  </si>
  <si>
    <t>中企网络通信</t>
  </si>
  <si>
    <t>国贸汇</t>
  </si>
  <si>
    <t>美国摩根路易斯律师事务所驻上海代表处</t>
  </si>
  <si>
    <t xml:space="preserve">卡莉洁软件技术 </t>
  </si>
  <si>
    <t>上海市静安区江宁路街道筷筷来(静安店)快易名商(武定路)</t>
  </si>
  <si>
    <t>维璟中心F/G/H</t>
  </si>
  <si>
    <t>里卡多</t>
  </si>
  <si>
    <t>上海市徐汇区虹梅路街道凤凰大楼</t>
  </si>
  <si>
    <t>艺丰中心</t>
  </si>
  <si>
    <t>金瀚</t>
  </si>
  <si>
    <t>上海市长宁区天山路街道盛高国际大厦</t>
  </si>
  <si>
    <t>Unicharm</t>
  </si>
  <si>
    <t>上海市长宁区天山路街道茅台路金虹桥商业广场</t>
  </si>
  <si>
    <t>东芝泰格商业服务（深圳）有限公司上海分公司</t>
  </si>
  <si>
    <t>上海市长宁区周家桥街道长宁路1139号长宁来福士东区</t>
  </si>
  <si>
    <t>译依品牌管理YIYI Treasure</t>
  </si>
  <si>
    <t>上海市闵行区新虹街道申昆路1999号星月虹桥中心</t>
  </si>
  <si>
    <t>芒果广场</t>
  </si>
  <si>
    <t>魅族</t>
  </si>
  <si>
    <t>上海市徐汇区龙华街道龙腾大道2121号麦当劳中国总部大楼</t>
  </si>
  <si>
    <t xml:space="preserve">Les Mills Fitness Service (Shanghai) Ltd.
莱美健身服务 </t>
  </si>
  <si>
    <t>上海市黄浦区打浦桥街道智造局国际服务外包产业园智造局一期国际服务外包产业园3号楼</t>
  </si>
  <si>
    <t>道和投资</t>
  </si>
  <si>
    <t>上海市徐汇区徐家汇街道汇鑫国际汇鑫国际1号楼</t>
  </si>
  <si>
    <t>滴灌通管理咨询（上海）有限公司</t>
  </si>
  <si>
    <t>上海市虹口区曲阳路街道松花江路2599弄小区</t>
  </si>
  <si>
    <t>Nikkei Architect</t>
  </si>
  <si>
    <t>建筑设计</t>
  </si>
  <si>
    <t>上海市浦东新区陆家嘴街道世纪大道108号中银大厦</t>
  </si>
  <si>
    <t>花旗集团大厦</t>
  </si>
  <si>
    <t>Citigroup Services and Technology
花旗金融信息服务(中国)有限公司</t>
  </si>
  <si>
    <t>上海市浦东新区张江镇晨晖路1000号上海浦东软件园</t>
  </si>
  <si>
    <t>HOTWON 浩云长盛</t>
  </si>
  <si>
    <t>Ernst &amp; Young (China) Advisory Limited 安永（中国）企业咨询有限公司/EY Assets Appraisal (Shanghai)Co., Ltd. 安永资产评估（上海）有限公司</t>
  </si>
  <si>
    <t xml:space="preserve"> Beneunder 蕉下</t>
  </si>
  <si>
    <t>Saint/Gobain (China) Investment Co., Ltd
圣戈班（中国）投资有限公司</t>
  </si>
  <si>
    <t>上海市虹口区北外滩街道影梦里</t>
  </si>
  <si>
    <t>Saint-Gobain Solar Gard Specialty Films
圣戈班舒热佳特殊镀膜</t>
  </si>
  <si>
    <t xml:space="preserve">维康金杖（上海）文化传媒 </t>
  </si>
  <si>
    <t>上海市黄浦区淮海中路街道淡水路289号Soho复兴广场</t>
  </si>
  <si>
    <t>CHAPMAN查普曼</t>
  </si>
  <si>
    <t>上海市黄浦区老西门街道肇周路333号老西门公馆</t>
  </si>
  <si>
    <t>Sandro</t>
  </si>
  <si>
    <t>上海市静安区曹家渡街道静安四季公寓汇智创意园</t>
  </si>
  <si>
    <t>Suhe Center agency fee (Tenant: PVH)</t>
  </si>
  <si>
    <t>上海市静安区江宁路街道TPlus茶家(玫琳凯大厦店)玫琳凯大厦</t>
  </si>
  <si>
    <t>Limon Media 
上海柠萌影视传媒</t>
  </si>
  <si>
    <t>上海市黄浦区淮海中路街道淡水路295号华丽家族·复兴天地中心</t>
  </si>
  <si>
    <t>Tapestry</t>
  </si>
  <si>
    <t>Coach</t>
  </si>
  <si>
    <t>Kharis Private Fund Management (Hainan) Limited 华凯家办（上海）商务咨询管理有限公司</t>
  </si>
  <si>
    <t>上海市浦东新区花木街道WeWork中国(浦东嘉里城社区店)嘉里城广场</t>
  </si>
  <si>
    <t>Suhe Center agency fee (tenant: 国药控股医疗投资管理)</t>
  </si>
  <si>
    <t>上海市黄浦区五里桥街道龙华东路385号国药控股大厦</t>
  </si>
  <si>
    <t>陆家嘴金控大厦</t>
  </si>
  <si>
    <t>Shanghai Hansheng Law
上海汉盛律师事务所</t>
  </si>
  <si>
    <t>上海市浦东新区花木街道杨高南路759号陆家嘴世纪金融广场</t>
  </si>
  <si>
    <t>Grey China Marketing Communications Co., Ltd. SH Branch
北京葛瑞传众广告有限公司上海分公司</t>
  </si>
  <si>
    <t>上海市黄浦区瑞金二路街道ZiWU志屋8号桥1期创意园区</t>
  </si>
  <si>
    <t>怡亚通物流</t>
  </si>
  <si>
    <t>上海市普陀区桃浦镇祁连新家园桃浦星品荟</t>
  </si>
  <si>
    <t>hager 海格电气</t>
  </si>
  <si>
    <t>上海市闵行区虹桥镇明泉璞院万象城</t>
  </si>
  <si>
    <t>上海复城贸易有限公司</t>
  </si>
  <si>
    <t>上海市宝山区杨行镇上海舒诚商务中心</t>
  </si>
  <si>
    <t>SIA艺术留学</t>
  </si>
  <si>
    <t>欧司朗（广州）照明科技有限公司</t>
  </si>
  <si>
    <t>上海市普陀区长征镇大渡河路长风大楼</t>
  </si>
  <si>
    <t>天同律所</t>
  </si>
  <si>
    <t>上海市长宁区新华路街道上海兴国丽笙宾馆(西北门)上海兴国宾馆丽笙精选</t>
  </si>
  <si>
    <t>虹桥天地2号楼</t>
  </si>
  <si>
    <t>中铁建京闵房地产</t>
  </si>
  <si>
    <t>上海市闵行区华漕镇中国铁建·花语前湾11号楼中国铁建·花语前湾(建设中)</t>
  </si>
  <si>
    <t>理想</t>
  </si>
  <si>
    <t>上海市嘉定区安亭镇于田南路111号于田大厦</t>
  </si>
  <si>
    <t>埃梵丝企业管理咨询（上海）有限公司</t>
  </si>
  <si>
    <t>上海市黄浦区打浦桥街道日月光中心广场日月光中心伯爵居</t>
  </si>
  <si>
    <t>智联招聘</t>
  </si>
  <si>
    <t>上海市黄浦区打浦桥街道蒙自路207号汉盟台湾连锁加盟产业商务中心</t>
  </si>
  <si>
    <t>虹桥汇</t>
  </si>
  <si>
    <t>大众汽车</t>
  </si>
  <si>
    <t>上海市嘉定区安亭镇吉的堡少儿英语(西上海中心)西上海大厦</t>
  </si>
  <si>
    <t>虹桥绿谷广场1期</t>
  </si>
  <si>
    <t xml:space="preserve">上海高仙自动化科技发展 </t>
  </si>
  <si>
    <t>机器人</t>
  </si>
  <si>
    <t>上海市闵行区新虹街道申贵路1091号富力十号</t>
  </si>
  <si>
    <t>越洋广场</t>
  </si>
  <si>
    <t>Sisley</t>
  </si>
  <si>
    <t>VanEck Private Fund Management
范达私募基金管理</t>
  </si>
  <si>
    <t>The Summit agency fee (tenant: 华进联合专利商标代理)</t>
  </si>
  <si>
    <t>评级、资质服务</t>
  </si>
  <si>
    <t>上海市浦东新区花木街道永达国际大厦</t>
  </si>
  <si>
    <t>Changan Ford 长安福特新能源汽车科技有限公司</t>
  </si>
  <si>
    <t>上海市浦东新区潍坊新村街道世纪大道1192号世纪汇广场(商场)</t>
  </si>
  <si>
    <t>Raffemet (Shanghai)
莱佛金属（上海）有限公司</t>
  </si>
  <si>
    <t>wicresoft 微创软件</t>
  </si>
  <si>
    <t>上海市浦东新区陆家嘴街道上海中心展览馆上海之品商场</t>
  </si>
  <si>
    <t>都市总部大楼</t>
  </si>
  <si>
    <t>Astellas Pharma</t>
  </si>
  <si>
    <t>上海市黄浦区南京东路街道东海商业中心东海商业中心东楼</t>
  </si>
  <si>
    <t>璨申</t>
  </si>
  <si>
    <t>上海市闵行区吴泾镇东川路555号紫竹科学园区(建设中)</t>
  </si>
  <si>
    <t>金控大厦二期</t>
  </si>
  <si>
    <t>可爱衣Kiabi</t>
  </si>
  <si>
    <t>上海市浦东新区陆家嘴街道东方明珠城市电视传播有限公司东方明珠广播电视塔</t>
  </si>
  <si>
    <t>金砖大厦</t>
  </si>
  <si>
    <t>山子高科 Sensteed</t>
  </si>
  <si>
    <t>上海市浦东新区南码头路街道银亿滨江中心银亿诚品中心</t>
  </si>
  <si>
    <t>上海段和段律师事务所</t>
  </si>
  <si>
    <t>昂立教育</t>
  </si>
  <si>
    <t>上海市徐汇区徐家汇街道申通信息广场</t>
  </si>
  <si>
    <t>悦普广告</t>
  </si>
  <si>
    <t>上海市黄浦区五里桥街道中山南一路736号博荟广场ONE EAST</t>
  </si>
  <si>
    <t>Black Mango 黑芒广告</t>
  </si>
  <si>
    <t>金融街海伦中心</t>
  </si>
  <si>
    <t>丝芭传媒</t>
  </si>
  <si>
    <t>艺人经纪</t>
  </si>
  <si>
    <t>上海市虹口区嘉兴路267号1楼A区</t>
  </si>
  <si>
    <t>国雄律所</t>
  </si>
  <si>
    <t>上海市徐汇区枫林路街道上海五洲国际大厦</t>
  </si>
  <si>
    <t>箕星药业科技（上海）有限公司</t>
  </si>
  <si>
    <t>上海市国雄律师事务所</t>
  </si>
  <si>
    <t>BURKARDT Partner</t>
  </si>
  <si>
    <t>上海市闵行区新虹街道虹桥天地北区1号楼</t>
  </si>
  <si>
    <t>randstad</t>
  </si>
  <si>
    <t>长宁八八中心</t>
  </si>
  <si>
    <t>Yunzhanghu
云账户（天津）共享经济信息咨询有限公司</t>
  </si>
  <si>
    <t>上海市长宁区天山路街道天山路1743号SOHO天山广场</t>
  </si>
  <si>
    <t>长宁国际发展广场T1</t>
  </si>
  <si>
    <t>葆婴BabyCare</t>
  </si>
  <si>
    <t>上海罗宾升国际货运</t>
  </si>
  <si>
    <t>长宁来福士广场 1座</t>
  </si>
  <si>
    <t>Hakuto 伯东企业(上海)有限公司</t>
  </si>
  <si>
    <t>上海市长宁区周家桥街道龙之梦雅仕大厦</t>
  </si>
  <si>
    <t>Mitsubishi Gas Chemical Shanghai Commerce Limited.
三菱瓦斯化学商贸（上海）有限公司</t>
  </si>
  <si>
    <t>长宁来福士广场2座</t>
  </si>
  <si>
    <t>Yusen Logistics
日邮多式联运（上海）有限公司</t>
  </si>
  <si>
    <t>上海风卡</t>
  </si>
  <si>
    <t>上海市长宁区周家桥街道凯旋路121号龙之梦雅仕大厦</t>
  </si>
  <si>
    <t>长宁来福士广场3座</t>
  </si>
  <si>
    <t xml:space="preserve">Emirates Global Aluminium (Shanghai) Aluminium Co., Ltd. 阿铝（上海）铝业 </t>
  </si>
  <si>
    <t>上海市徐汇区湖南路街道陕西南路288号环贸iapm商场</t>
  </si>
  <si>
    <t>长宁来福士广场T1</t>
  </si>
  <si>
    <t>Hakuto伯东</t>
  </si>
  <si>
    <t>长房国际广场</t>
  </si>
  <si>
    <t>佐藤</t>
  </si>
  <si>
    <t>Mattel</t>
  </si>
  <si>
    <t>Ruder Finn</t>
  </si>
  <si>
    <t>上海市徐汇区徐家汇街道上海航空科技大厦</t>
  </si>
  <si>
    <t>阿里巴巴虹桥总部基地</t>
  </si>
  <si>
    <t xml:space="preserve">河南德力新能源汽车 </t>
  </si>
  <si>
    <t>上海市闵行区新虹街道虹桥绿谷广场</t>
  </si>
  <si>
    <t>陆家嘴世纪金融广场 2</t>
  </si>
  <si>
    <t>Haitian Tongchuang Industrial Co., Ltd.
宁波海天同创实业</t>
  </si>
  <si>
    <t>上海鲤威科技有限公司</t>
  </si>
  <si>
    <t>上海市浦东新区陆家嘴街道二十一世纪大厦上海浦东丽晶酒店</t>
  </si>
  <si>
    <t>淘利资产</t>
  </si>
  <si>
    <t>上海市浦东新区张江镇盛夏路608号3幢北京大学上海微电子研究院</t>
  </si>
  <si>
    <t>陆家嘴世纪金融广场3</t>
  </si>
  <si>
    <t>五矿有色金属</t>
  </si>
  <si>
    <t>上海市浦东新区塘桥街道杨高南路406号由由世纪广场</t>
  </si>
  <si>
    <t>上海海通资源管理有限公司</t>
  </si>
  <si>
    <t>上海市浦东新区潍坊新村街道浦电路494号中建大厦(竹林路)</t>
  </si>
  <si>
    <t>海通期货股份有限公司</t>
  </si>
  <si>
    <t>陆家嘴投资大厦</t>
  </si>
  <si>
    <t>中宁隆道基金</t>
  </si>
  <si>
    <t>宇量信息科技&amp;量宇私募基金</t>
  </si>
  <si>
    <t>上海市浦东新区潍坊新村街道世纪大道6号浦东世纪大都会</t>
  </si>
  <si>
    <t>仕卿人力资源</t>
  </si>
  <si>
    <t>上海市徐汇区徐家汇街道中金国际广场B座中金国际广场B楼</t>
  </si>
  <si>
    <t>深圳国诚投资</t>
  </si>
  <si>
    <t>上海市浦东新区陆家嘴街道良友大厦</t>
  </si>
  <si>
    <t xml:space="preserve">上海永利通私募基金管理 </t>
  </si>
  <si>
    <t>上海市浦东新区周浦镇周浦万达广场万达广场(上海周浦店)</t>
  </si>
  <si>
    <t>极狐科技Gitlab</t>
  </si>
  <si>
    <t>上海市奉贤区金海街道临港南桥智行广场上海奉贤经济开发区生物科技园区</t>
  </si>
  <si>
    <t>上海央法律师事务所</t>
  </si>
  <si>
    <t>陆家嘴金融广场</t>
  </si>
  <si>
    <t>顽岩资产管理</t>
  </si>
  <si>
    <t>顽岩投资</t>
  </si>
  <si>
    <t>上海市浦东新区陆家嘴街道南泉北路429号泰康保险大厦</t>
  </si>
  <si>
    <t>陆家嘴金融服务广场</t>
  </si>
  <si>
    <t>寻汇网络</t>
  </si>
  <si>
    <t>上海市浦东新区洋泾街道歇浦小区珑悦滨江</t>
  </si>
  <si>
    <t>震旦国际大厦</t>
  </si>
  <si>
    <t>华源证券（原九州证券）</t>
  </si>
  <si>
    <t>静安合生汇项目</t>
  </si>
  <si>
    <t>Blue Bottle Coffee</t>
  </si>
  <si>
    <t>上海市静安区天目西路街道裕通路JiC静安国际中心商场西区</t>
  </si>
  <si>
    <t>要火商贸</t>
  </si>
  <si>
    <t>上海市黄浦区外滩街道四川中路49号大楼创业大楼(四川中路)</t>
  </si>
  <si>
    <t>浙商证券</t>
  </si>
  <si>
    <t>上海市静安区曹家渡街道海森国际大厦(康定路)</t>
  </si>
  <si>
    <t>信达资产管理</t>
  </si>
  <si>
    <t>上海市浦东新区花木街道锦康路322号陆家嘴世纪金融广场</t>
  </si>
  <si>
    <t>静安嘉里中心2座</t>
  </si>
  <si>
    <t>MEP (Shanghai) Co., Ltd
明宝工程塑料商贸</t>
  </si>
  <si>
    <t>Relocation and Downsize</t>
  </si>
  <si>
    <t>上海市浦东新区陆家嘴街道上海环球金融中心上海环球金融中心商场(世纪大道)</t>
  </si>
  <si>
    <t>Audemars Piguet</t>
  </si>
  <si>
    <t>SK Tower agency fee (Tenant: 纳榜企业管理)</t>
  </si>
  <si>
    <t>上海市浦东新区上钢新村街道中国黄金大厦A座</t>
  </si>
  <si>
    <t>中夏律所</t>
  </si>
  <si>
    <t>上海市闵行区新虹街道晟虹新景苑如家驿居酒店(上海虹桥机场会展中心店)</t>
  </si>
  <si>
    <t>静徕坊</t>
  </si>
  <si>
    <t>Agency Fee
上海金珀餐饮管理有限公司</t>
  </si>
  <si>
    <t>宝山区共和新路5000弄2号</t>
  </si>
  <si>
    <t>共和新</t>
  </si>
  <si>
    <t xml:space="preserve">上海孚缇美容科技 </t>
  </si>
  <si>
    <t>医美</t>
  </si>
  <si>
    <t>上海市杨浦区五角场街道三号湾广场</t>
  </si>
  <si>
    <t>领展广场</t>
  </si>
  <si>
    <t>周大福能源(中国)有限公司</t>
  </si>
  <si>
    <t>上海市静安区天目西路街道新闸路730号凯德星贸大厦</t>
  </si>
  <si>
    <t>Bank of Beijing Co., Ltd. SH Branch
北京银行股份有限公司上海分行</t>
  </si>
  <si>
    <t>上海市黄浦区外滩街道中汇大厦中汇大厦(河南南路)</t>
  </si>
  <si>
    <t>香港兴业中心一座</t>
  </si>
  <si>
    <t>Michael Kors</t>
  </si>
  <si>
    <t>香港新世界大厦</t>
  </si>
  <si>
    <t>Shanghai Pingqi Technology Co., Ltd.
上海平旗科技有限公司</t>
  </si>
  <si>
    <t>上海市浦东新区潍坊新村街道世纪大道8号口世纪汇广场(商场)</t>
  </si>
  <si>
    <t>瑰丽酒店集团</t>
  </si>
  <si>
    <t>酒店及管理</t>
  </si>
  <si>
    <t>酒店</t>
  </si>
  <si>
    <t>Hospitality &amp; F&amp;B</t>
  </si>
  <si>
    <t>上海市闵行区新虹街道苏虹路333号上海虹桥万通中心</t>
  </si>
  <si>
    <t>香港置地西岸金融城 T7  B3/4/5</t>
  </si>
  <si>
    <t>国药控股</t>
  </si>
  <si>
    <t>上海市浦东新区上钢新村街道国耀路211号鲁能国际中心C区</t>
  </si>
  <si>
    <t>高尚领域 T2/3</t>
  </si>
  <si>
    <t>世全网络TradPlus</t>
  </si>
  <si>
    <t>上海市长宁区天山路街道中国铁路通信号上海工程公司第三分公司上服T STAR智尚园</t>
  </si>
  <si>
    <t>Yakult (China) Corporation 
养乐多（中国）投资有限公司</t>
  </si>
  <si>
    <t>上海市浦东新区南泉北路429号</t>
  </si>
  <si>
    <t>Cheese Head</t>
  </si>
  <si>
    <t>上海市静安区江宁路街道Paustian百空间</t>
  </si>
  <si>
    <t>好果云</t>
  </si>
  <si>
    <t>上海市静安区江宁路街道东隆友邦大厦</t>
  </si>
  <si>
    <t>铜升实业</t>
  </si>
  <si>
    <t>上海市普陀区长寿路街道半岛花园(宜昌路)</t>
  </si>
  <si>
    <t>尚铭金属</t>
  </si>
  <si>
    <t>上海市普陀区长寿路街道中山北路上海物资贸易中心大厦</t>
  </si>
  <si>
    <t>DIA 数皆智能</t>
  </si>
  <si>
    <t xml:space="preserve">上海哆米品牌管理 </t>
  </si>
  <si>
    <t>上海市徐汇区漕河泾街道恒地仓国际大厦</t>
  </si>
  <si>
    <t>One East agency fee (tenant: Meltwater 融文商务咨询)</t>
  </si>
  <si>
    <t>Zhong Xia Law Firm</t>
  </si>
  <si>
    <t>上海市闵行区莘庄镇解放大厦3座</t>
  </si>
  <si>
    <t>雀巢</t>
  </si>
  <si>
    <t>上海市徐汇区田林街道上海中贸国际展览有限公司宏汇国际广场B座</t>
  </si>
  <si>
    <t>滴滴出行</t>
  </si>
  <si>
    <t>上海市嘉定区南翔镇真南路4268号中冶祥腾城市佳园</t>
  </si>
  <si>
    <t>Code</t>
  </si>
  <si>
    <t>Trasaction  Date</t>
  </si>
  <si>
    <t>Dest_Longitude</t>
  </si>
  <si>
    <t>Dest_Latitude</t>
  </si>
  <si>
    <t>Dest_Submarket</t>
  </si>
  <si>
    <t>area_unit</t>
  </si>
  <si>
    <t>Origin_Address</t>
  </si>
  <si>
    <t>Origin_BuildingName</t>
  </si>
  <si>
    <t>Origin_BuildingName_Check</t>
  </si>
  <si>
    <t>Origin_Longitude</t>
  </si>
  <si>
    <t>Origin_Latitude</t>
  </si>
  <si>
    <t>Origin_CBD/DBD</t>
  </si>
  <si>
    <t>Distance(km)</t>
  </si>
  <si>
    <t>Zhuyuan</t>
  </si>
  <si>
    <t>m2</t>
  </si>
  <si>
    <t>上海市浦东新区兰花路333号</t>
  </si>
  <si>
    <t>Century 333 333世纪大厦</t>
  </si>
  <si>
    <t>世纪大厦(兰花路)</t>
  </si>
  <si>
    <t>DBD</t>
  </si>
  <si>
    <t>Puxi Expo</t>
  </si>
  <si>
    <t>上海市虹口区东大名路358号</t>
  </si>
  <si>
    <t>SIPG Tower 国际港务大厦</t>
  </si>
  <si>
    <t>国际港务大厦</t>
  </si>
  <si>
    <t>上海市虹口区四川北路1318号</t>
  </si>
  <si>
    <t>Houtan</t>
  </si>
  <si>
    <t>上海市浦东新区东方路1928号</t>
  </si>
  <si>
    <t>东方路1928</t>
  </si>
  <si>
    <t>东海证券大厦</t>
  </si>
  <si>
    <t>Xuhui Bund</t>
  </si>
  <si>
    <t>上海市虹口区松花江路2601号南侧一号楼3层3093室</t>
  </si>
  <si>
    <t>上海同舟济职业技术培训中心城创中心</t>
  </si>
  <si>
    <t>Lujiazui</t>
  </si>
  <si>
    <t>上海市晨晖路1000号3号楼</t>
  </si>
  <si>
    <t>上海市晨晖路1000号3号楼（即亮秀F座）601、602、603室</t>
  </si>
  <si>
    <t>上海浦东软件园</t>
  </si>
  <si>
    <t>上海市宜山路700号</t>
  </si>
  <si>
    <t>宜山路700号</t>
  </si>
  <si>
    <t>枫林国际·科创园</t>
  </si>
  <si>
    <t>New Jiangwan Town/Wujiaochang</t>
  </si>
  <si>
    <t>上海市国通路118号</t>
  </si>
  <si>
    <t>中航天盛</t>
  </si>
  <si>
    <t>天盛科创广场-A座办公楼</t>
  </si>
  <si>
    <t>Others</t>
  </si>
  <si>
    <t>上海市虹口区塘沽路463、473、4785号</t>
  </si>
  <si>
    <t>虹口科技金融大厦</t>
  </si>
  <si>
    <t>Dalian Road</t>
  </si>
  <si>
    <t>上海市浦东新区丁香路858号</t>
  </si>
  <si>
    <t>丁香国际</t>
  </si>
  <si>
    <t>丁香国际广场</t>
  </si>
  <si>
    <t>Nanjing West Road</t>
  </si>
  <si>
    <t>上海市静安区石门一路288号</t>
  </si>
  <si>
    <t>HKRI Centre Two 兴业太古汇二座</t>
  </si>
  <si>
    <t>兴业太古汇2座</t>
  </si>
  <si>
    <t>上海市徐汇区广元西路315号(近城开大厦)</t>
  </si>
  <si>
    <t>Hui Center 联峰汇</t>
  </si>
  <si>
    <t>联峰汇</t>
  </si>
  <si>
    <t>Qiantan</t>
  </si>
  <si>
    <t>上海市黄浦区中山南路318号</t>
  </si>
  <si>
    <t>中山南路318号</t>
  </si>
  <si>
    <t>东方国际金融广场新源广场</t>
  </si>
  <si>
    <t>泰康保险</t>
  </si>
  <si>
    <t>泰康保险大厦</t>
  </si>
  <si>
    <t>上海市浦东新区福山路388号</t>
  </si>
  <si>
    <t>宏嘉大厦越秀大厦</t>
  </si>
  <si>
    <t>上海市浦东新区杨高南路759号</t>
  </si>
  <si>
    <t>杨高南路759号12层（名义楼层，实际楼层第11层）01、02单元</t>
  </si>
  <si>
    <t>陆家嘴世纪金融广场</t>
  </si>
  <si>
    <t>北外滩来福士广场西塔</t>
  </si>
  <si>
    <t>North Bund</t>
  </si>
  <si>
    <t>上海市浦东新区银城中路488号</t>
  </si>
  <si>
    <t>银城中路488号</t>
  </si>
  <si>
    <t>太平金融大厦</t>
  </si>
  <si>
    <t>上海市徐汇区蒲汇塘路150号汇鑫国际大厦1702室</t>
  </si>
  <si>
    <t>汇鑫国际</t>
  </si>
  <si>
    <t>上海市黄浦区福州路318号</t>
  </si>
  <si>
    <t>Cross Tower 华设大厦</t>
  </si>
  <si>
    <t>华设大厦</t>
  </si>
  <si>
    <t>上海市浦东新区世纪大道88号金茂大厦</t>
  </si>
  <si>
    <t>世纪大道88号金茂大厦38楼04B、05、06单元</t>
  </si>
  <si>
    <t>上海市浦东新区世纪大道1777号</t>
  </si>
  <si>
    <t>East Hope Plaza 东方希望大厦</t>
  </si>
  <si>
    <t>东方希望大厦</t>
  </si>
  <si>
    <t>上海市浦东新区浦东南路999号</t>
  </si>
  <si>
    <t>新梅广场</t>
  </si>
  <si>
    <t>新梅联合广场(上海新梅万豪行政公寓西南)新梅联合广场A座</t>
  </si>
  <si>
    <t>上海市浦东新区银城中路68号</t>
  </si>
  <si>
    <t>One Lujiazui</t>
  </si>
  <si>
    <t>上海市徐汇区斜土路2899号</t>
  </si>
  <si>
    <t>KPS Culture Square 光启文化广场</t>
  </si>
  <si>
    <t>光启文化广场</t>
  </si>
  <si>
    <t>Xintiandi</t>
  </si>
  <si>
    <t>上海市黄浦区河南南路16号6楼</t>
  </si>
  <si>
    <t>黄浦区中汇大厦</t>
  </si>
  <si>
    <t>中汇大厦中汇大厦(河南南路)</t>
  </si>
  <si>
    <t>陆家嘴世纪金融广场3号楼</t>
  </si>
  <si>
    <t>上海市浦东新区世纪大道1568号</t>
  </si>
  <si>
    <t>中建大厦中建大厦</t>
  </si>
  <si>
    <t>上海市长宁区天山路1717号天山sohob1北广场</t>
  </si>
  <si>
    <t>Tianshan SOHO</t>
  </si>
  <si>
    <t>SOHO天山广场</t>
  </si>
  <si>
    <t>Xinminyang</t>
  </si>
  <si>
    <t>上海市浦东新区世纪大道1788-1800号</t>
  </si>
  <si>
    <t>Lujiazui Financial Holdings Plaza Tower 1 陆家嘴金控广场1号楼</t>
  </si>
  <si>
    <t>陆家嘴金控广场1号楼</t>
  </si>
  <si>
    <t>上海市静安区万航渡路789号</t>
  </si>
  <si>
    <t>海森国际</t>
  </si>
  <si>
    <t>上海市静安区延平路121号</t>
  </si>
  <si>
    <t>三和大厦</t>
  </si>
  <si>
    <t>三和大厦三和大厦(延平路)</t>
  </si>
  <si>
    <t>上海市浦东新区张杨路500号</t>
  </si>
  <si>
    <t>华润时代广场</t>
  </si>
  <si>
    <t>上海市浦东新区世纪大道1168号东方金融广场</t>
  </si>
  <si>
    <t>Oriental Financial Plaza Tower B 东方金融广场B座</t>
  </si>
  <si>
    <t>东方金融广场</t>
  </si>
  <si>
    <t>Taikang Insurance Tower
泰康保险大厦ARCC</t>
  </si>
  <si>
    <t>上海市浦东新区福山路500号城建国际中心2706室</t>
  </si>
  <si>
    <t>Changfeng</t>
  </si>
  <si>
    <t>上海市普陀区中江路388弄国浩长风一期5号20层</t>
  </si>
  <si>
    <t>国浩长风城一期5号楼</t>
  </si>
  <si>
    <t>上海市闸北区梅园路136号</t>
  </si>
  <si>
    <t>上海苏河湾大厦</t>
  </si>
  <si>
    <t>上海市浦东新区世纪大道1589号6层09单元</t>
  </si>
  <si>
    <t>长泰国际金融大厦</t>
  </si>
  <si>
    <t>上海市虹口区四川北路888号1105</t>
  </si>
  <si>
    <t>海泰国际大厦</t>
  </si>
  <si>
    <t>上海市浦东新区银城路117号瑞明大厦</t>
  </si>
  <si>
    <t>瑞明大厦</t>
  </si>
  <si>
    <t>上海市浦东新区世纪大道1777号东方希望大厦11AB</t>
  </si>
  <si>
    <t>The Bund</t>
  </si>
  <si>
    <t>上海市虹口区东大名路391-393号虹口北外滩开业园区4层</t>
  </si>
  <si>
    <t>虹口北外滩开业园区</t>
  </si>
  <si>
    <t>上海市浦东新区商城路618号良友大厦11楼</t>
  </si>
  <si>
    <t>良友大厦</t>
  </si>
  <si>
    <t>上海市浦东新区南泉北路429号泰康保险大厦19层01和06单元</t>
  </si>
  <si>
    <t>上海市浦东新区周浦镇年家浜路526号周浦万达广场2214室</t>
  </si>
  <si>
    <t>周浦万达广场</t>
  </si>
  <si>
    <t>上海市浦东新区福山路388号越秀大厦</t>
  </si>
  <si>
    <t>上海市浦东新区陆家嘴环路1233号汇亚大厦1101-1103室</t>
  </si>
  <si>
    <t>上海市浦东新区世纪大道8号上海国金中心二期（B座）3667室</t>
  </si>
  <si>
    <t>上海国金中心二期（B座）</t>
  </si>
  <si>
    <t>上海市浦东新区南泉北路429号2101室</t>
  </si>
  <si>
    <t>南泉北路429号</t>
  </si>
  <si>
    <t>上海市长宁区兴义路8号万都中心4803</t>
  </si>
  <si>
    <t>万都中心</t>
  </si>
  <si>
    <t>上海市浦东新区陆家嘴环路1000号恒生银行大厦</t>
  </si>
  <si>
    <t>上海市浦东新区陆家嘴环路1233号汇亚大厦11楼</t>
  </si>
  <si>
    <t>上海市静安区恒通路360号A2301J室</t>
  </si>
  <si>
    <t>一天下大厦</t>
  </si>
  <si>
    <t>博荟广场A栋</t>
  </si>
  <si>
    <t>上海市黄浦区蒙自路763号歌斐中心36楼</t>
  </si>
  <si>
    <t>歌斐中心</t>
  </si>
  <si>
    <t>上海市浦东新区世纪大道1589号长泰国际金融大厦17楼</t>
  </si>
  <si>
    <t>前滩四方城 W1/W2</t>
  </si>
  <si>
    <t>上海市静安区铜仁路299号SOHO东海广场3102室</t>
  </si>
  <si>
    <t>SOHO东海广场</t>
  </si>
  <si>
    <t>上海市浦东新区银城中路8号中融碧玉蓝天大厦4楼</t>
  </si>
  <si>
    <t>中融碧玉蓝天大厦</t>
  </si>
  <si>
    <t>上海市浦东新区世纪大道1196号世纪汇办公楼二座35层04、05、06单位</t>
  </si>
  <si>
    <t>世纪汇办公楼二座</t>
  </si>
  <si>
    <t>上海市浦东新区盛夏路570号895创新基地906</t>
  </si>
  <si>
    <t>895创新基地</t>
  </si>
  <si>
    <t>上海市黄浦区外滩金融中心N1楼8层</t>
  </si>
  <si>
    <t>外滩金融中心N1楼</t>
  </si>
  <si>
    <t>上海市杨浦区通北路589号燕舞东方保利广场5楼01-08室</t>
  </si>
  <si>
    <t>燕舞东方保利广场</t>
  </si>
  <si>
    <t>上海市浦东新区五莲路1333弄融创精彩天地59号815室</t>
  </si>
  <si>
    <t>融创精彩天地</t>
  </si>
  <si>
    <t>上海市浦东新区洋泾街道浦东大道900号华辰金融大厦</t>
  </si>
  <si>
    <t>华辰金融大厦</t>
  </si>
  <si>
    <t>上海市浦东新区新金桥路1599号IBC东方万国企业中心C2栋5C</t>
  </si>
  <si>
    <t>IBC东方万国企业中心</t>
  </si>
  <si>
    <t>上海市黄浦区龙华东路868号黄浦绿地缤纷城2108-2109室</t>
  </si>
  <si>
    <t>黄浦绿地缤纷城</t>
  </si>
  <si>
    <t>上海市浦东新区东方路969号上海中油阳光大酒店1001</t>
  </si>
  <si>
    <t>上海中油阳光大酒店</t>
  </si>
  <si>
    <t>Huamu</t>
  </si>
  <si>
    <t>上海市浦东新区芳甸路1088号紫竹国际大厦17层01-06单元</t>
  </si>
  <si>
    <t>紫竹国际大厦</t>
  </si>
  <si>
    <t>上海市浦东新区世纪大道88号金茂大厦2007室</t>
  </si>
  <si>
    <t>上海市浦东新区北张家浜路128号603-B室</t>
  </si>
  <si>
    <t>北张家浜路128号</t>
  </si>
  <si>
    <t>上海市浦东新区陆家嘴环路1366号富士康大厦10楼01单元</t>
  </si>
  <si>
    <t>富士康大厦</t>
  </si>
  <si>
    <t>上海市浦东新区花园石桥路66号东亚银行金融大厦</t>
  </si>
  <si>
    <t>BEA Finance Tower 东亚银行金融大厦</t>
  </si>
  <si>
    <t>上海市浦东新区兰花路333号B幢2103室</t>
  </si>
  <si>
    <t>上海市长宁区通协路268号2002室</t>
  </si>
  <si>
    <t>尚品都汇</t>
  </si>
  <si>
    <t>中山东二路600号</t>
  </si>
  <si>
    <t>bund financial center</t>
  </si>
  <si>
    <t>上海市浦东新区峨山路91弄98号陆家嘴软件园</t>
  </si>
  <si>
    <t>陆家嘴软件园</t>
  </si>
  <si>
    <t>Xujiahui</t>
  </si>
  <si>
    <t>静安区南京西路1601号越洋广场办公楼42层</t>
  </si>
  <si>
    <t>上海市浦东新区杨高南路729号陆家嘴世纪金融广场</t>
  </si>
  <si>
    <t>Lujiazui Century Financial Plaza Building 1 陆家嘴世纪金融广场1号楼</t>
  </si>
  <si>
    <t>陆家嘴世纪金融广场1号楼</t>
  </si>
  <si>
    <t>上海市黄浦区西藏中路268号</t>
  </si>
  <si>
    <t>Regus Raffles City</t>
  </si>
  <si>
    <t>Raffles City来福士广场</t>
  </si>
  <si>
    <t>上海市浦东新区福山路288号世纪大都会1号楼</t>
  </si>
  <si>
    <t>Century Grand Metropolis Building 1 世纪大都会1号楼</t>
  </si>
  <si>
    <t>世纪大都会1号楼</t>
  </si>
  <si>
    <t>上海市浦东新区世纪大道1600号陆家嘴商务广场</t>
  </si>
  <si>
    <t>陆家嘴商务广场</t>
  </si>
  <si>
    <t>上海市浦东新区陆家嘴环路166号未来资产大厦F15楼</t>
  </si>
  <si>
    <t>上海市浦东新区源深路38弄富源置地广场1号楼</t>
  </si>
  <si>
    <t>Fortune Riverside Landmark Tower 1 富源置地广场1号楼</t>
  </si>
  <si>
    <t>富源置地广场1号楼</t>
  </si>
  <si>
    <t>上海市浦东新区浦东南路1118号鄂尔多斯国际大厦</t>
  </si>
  <si>
    <t>Erdos International Building 鄂尔多斯国际大厦</t>
  </si>
  <si>
    <t xml:space="preserve"> 鄂尔多斯国际大厦</t>
  </si>
  <si>
    <t>上海市徐汇区龙华街道龙兰路277号东航滨江中心T1座21楼</t>
  </si>
  <si>
    <t>东航滨江中心</t>
  </si>
  <si>
    <t>上海市虹口区广中路街道西江湾路388号凯德龙之梦/上海市长宁区长宁路1139号来福士广场/上海市黄浦区南京西路288号创兴金融中心</t>
  </si>
  <si>
    <t>凯德龙之梦、长宁来福士广场、创兴金融中心</t>
  </si>
  <si>
    <t>虹口龙之梦</t>
  </si>
  <si>
    <t>长宁来福士</t>
  </si>
  <si>
    <t>上海市浦东新区世纪大道1196号世纪汇二座</t>
  </si>
  <si>
    <t>century link T2 世纪汇二座</t>
  </si>
  <si>
    <t xml:space="preserve"> 世纪汇二座</t>
  </si>
  <si>
    <t>上海市浦东新区三林镇耀体路276号晶耀商务广场3号楼9层901室908室</t>
  </si>
  <si>
    <t>晶耀前滩</t>
  </si>
  <si>
    <t>Shanghai Railway Station</t>
  </si>
  <si>
    <t>上海市静安区恒丰路299号</t>
  </si>
  <si>
    <t>太阳City</t>
  </si>
  <si>
    <t>上海市浦东新区潍坊新村街道松林路357号通茂大酒店24层2408室</t>
  </si>
  <si>
    <t>通茂大酒店</t>
  </si>
  <si>
    <t>上海市长宁区淞虹路207号</t>
  </si>
  <si>
    <t>生命元山</t>
  </si>
  <si>
    <t>张杨路707号二层</t>
  </si>
  <si>
    <t>银峰大厦</t>
  </si>
  <si>
    <t>租金区间</t>
  </si>
  <si>
    <t>&lt;5.0</t>
  </si>
  <si>
    <t>计数</t>
  </si>
  <si>
    <t>占比</t>
  </si>
  <si>
    <t>&lt;2km</t>
  </si>
  <si>
    <t>[5, 7)</t>
  </si>
  <si>
    <t>4km</t>
  </si>
  <si>
    <t>[7, 9)</t>
  </si>
  <si>
    <t>6km</t>
  </si>
  <si>
    <t>[9, 11)</t>
  </si>
  <si>
    <t>8km</t>
  </si>
  <si>
    <r>
      <rPr>
        <sz val="11"/>
        <color theme="1"/>
        <rFont val="Calibri"/>
        <charset val="134"/>
      </rPr>
      <t>≥</t>
    </r>
    <r>
      <rPr>
        <sz val="11"/>
        <color theme="1"/>
        <rFont val="等线"/>
        <charset val="134"/>
        <scheme val="minor"/>
      </rPr>
      <t>11.0</t>
    </r>
  </si>
  <si>
    <t>10km</t>
  </si>
  <si>
    <t>12km</t>
  </si>
  <si>
    <t>总体</t>
  </si>
  <si>
    <t>14km</t>
  </si>
  <si>
    <t>16km</t>
  </si>
  <si>
    <t>18km</t>
  </si>
  <si>
    <t>20km</t>
  </si>
  <si>
    <t>这里计算成大于等于18</t>
  </si>
  <si>
    <t>上海市普陀区真北路2691号</t>
  </si>
  <si>
    <t>星河世纪城</t>
  </si>
  <si>
    <t>Zhenru</t>
  </si>
  <si>
    <t>上海市静安区沪太路701号</t>
  </si>
  <si>
    <t>上海国际新媒体产业基地</t>
  </si>
  <si>
    <t>喜福荟国媒中心(上海国际新媒体产业基地)</t>
  </si>
  <si>
    <t>上海市普陀区中山北路3300号</t>
  </si>
  <si>
    <t>普陀环球港</t>
  </si>
  <si>
    <t>上海月星环球港</t>
  </si>
  <si>
    <t>上海市普陀区中江路118弄22号</t>
  </si>
  <si>
    <t>普陀区中江路海亮大厦</t>
  </si>
  <si>
    <t>海亮大厦</t>
  </si>
  <si>
    <t>上海市闵行区申长路818号</t>
  </si>
  <si>
    <t>申长路818号、苏 虹路17号、申长路888弄1-4号、申虹路333号29幢33幢701、702、703、710、711单元</t>
  </si>
  <si>
    <t>虹桥天地</t>
  </si>
  <si>
    <t>上海市静安区裕通路100号宝矿洲际商务中心</t>
  </si>
  <si>
    <t>裕通路100号宝矿洲际商务中心50,51层</t>
  </si>
  <si>
    <t>宝矿洲际商务中心</t>
  </si>
  <si>
    <t>上海市闵行区沪青平公路277号5楼</t>
  </si>
  <si>
    <t>上海市浦东新区浦东大道1200号</t>
  </si>
  <si>
    <t>Ju Yang Tower 巨洋大厦</t>
  </si>
  <si>
    <t>VIP大厦</t>
  </si>
  <si>
    <t>Hongqiao Transportation Hub</t>
  </si>
  <si>
    <t>上海市长宁区金钟路968号</t>
  </si>
  <si>
    <t>金钟路968号2号楼10楼</t>
  </si>
  <si>
    <t>Skybridge HQ天会</t>
  </si>
  <si>
    <t>上海市浦东新区福山路500号</t>
  </si>
  <si>
    <t>肇嘉浜路807号1204室</t>
  </si>
  <si>
    <t>五洲国际大厦</t>
  </si>
  <si>
    <t>上海市黄浦区中山南一路788号</t>
  </si>
  <si>
    <t>one east</t>
  </si>
  <si>
    <t>博荟广场ONE EAST</t>
  </si>
  <si>
    <t>One East Tower A 博荟广场A栋</t>
  </si>
  <si>
    <t>Suhe Creek</t>
  </si>
  <si>
    <t>上海市浦东新区花木路1378号</t>
  </si>
  <si>
    <t>Kerry Parkside</t>
  </si>
  <si>
    <t>嘉里城广场</t>
  </si>
  <si>
    <t>上海市宝山区高逸路112-118号3幢A2228室</t>
  </si>
  <si>
    <t>宝锦国际</t>
  </si>
  <si>
    <t>上海市嘉定区江桥镇沙河路337号</t>
  </si>
  <si>
    <t>上海西郊商务区A区</t>
  </si>
  <si>
    <t>上海市闵行区闵北路88弄1-30号</t>
  </si>
  <si>
    <t>上海市闵行区闵北路88弄1-30号104幢1层A区</t>
  </si>
  <si>
    <t>坤赢旭华广场</t>
  </si>
  <si>
    <t>上海市甬虹路69号虹桥绿谷广场</t>
  </si>
  <si>
    <t>Hongqiao Green Valley 虹桥绿谷</t>
  </si>
  <si>
    <t>虹桥绿谷广场</t>
  </si>
  <si>
    <t>Changshou Road</t>
  </si>
  <si>
    <t>上海市普陀区谈家渡路28号(近曹杨路)</t>
  </si>
  <si>
    <t>谈家渡路28号盛泉大厦1134室</t>
  </si>
  <si>
    <t>盛泉大厦</t>
  </si>
  <si>
    <t>上海市浦东新区陆家嘴世纪大道8号上海国金中心</t>
  </si>
  <si>
    <t>2ifc</t>
  </si>
  <si>
    <t>上海国金中心</t>
  </si>
  <si>
    <t>上海市黄浦区中山南路100号</t>
  </si>
  <si>
    <t>金外滩国际广场</t>
  </si>
  <si>
    <t>上海市静安区石门一路211号旺旺大厦</t>
  </si>
  <si>
    <t>石门一路211号旺旺大厦19楼1901、1903和20楼整层</t>
  </si>
  <si>
    <t>旺旺大厦</t>
  </si>
  <si>
    <t>上海市黄浦区淮海中路381号</t>
  </si>
  <si>
    <t>中环广场</t>
  </si>
  <si>
    <t>上海市静安区南京西路1266号</t>
  </si>
  <si>
    <t>恒隆广场</t>
  </si>
  <si>
    <t>上海市长宁区长宁路1018号</t>
  </si>
  <si>
    <t>长宁龙之梦</t>
  </si>
  <si>
    <t>龙之梦购物中心</t>
  </si>
  <si>
    <t>上海市静安区南京西路1717号</t>
  </si>
  <si>
    <t>会德丰Wheelock</t>
  </si>
  <si>
    <t>中国（上海）自由贸易试验区浦电路480号浦项商务广场28楼</t>
  </si>
  <si>
    <t>Hongqiao</t>
  </si>
  <si>
    <t>上海市静安区北京西路968号</t>
  </si>
  <si>
    <t>Garden Square 嘉地中心</t>
  </si>
  <si>
    <t>华敏帝豪大厦上海静安瑞吉酒店</t>
  </si>
  <si>
    <t>上海浦东新区世纪大道1500号</t>
  </si>
  <si>
    <t>世纪大道1500号东方大厦15楼15-02室</t>
  </si>
  <si>
    <t>世纪广场国华人寿金融大厦</t>
  </si>
  <si>
    <t>上海市浦东新区陆家嘴环路958号</t>
  </si>
  <si>
    <t>Grade B 华能联合</t>
  </si>
  <si>
    <t>华能联合大厦</t>
  </si>
  <si>
    <t>上海市长宁区兴国路78号</t>
  </si>
  <si>
    <t>Radisson Plaza Xing Guo Hotel Shanghai</t>
  </si>
  <si>
    <t>徐汇区漕溪北路45号</t>
  </si>
  <si>
    <t>上海航空科技大厦</t>
  </si>
  <si>
    <t>People's Square</t>
  </si>
  <si>
    <t>上海市徐汇区徐家汇街道漕溪北路331~375号</t>
  </si>
  <si>
    <t>上海徐汇区中金国际广场</t>
  </si>
  <si>
    <t>中金国际广场B座中金国际广场B楼</t>
  </si>
  <si>
    <t>上海市黄浦区淮海中路1号柳林大厦</t>
  </si>
  <si>
    <t>柳林大厦</t>
  </si>
  <si>
    <t>上海市黄浦区建国中路10号（近重庆南路）</t>
  </si>
  <si>
    <t>卢湾区八号桥</t>
  </si>
  <si>
    <t>8号桥1期创意园区</t>
  </si>
  <si>
    <t>Central Plaza</t>
  </si>
  <si>
    <t>上海市长宁区长宁路1133号</t>
  </si>
  <si>
    <t>Raffles City Changning T1
长宁来福士1座</t>
  </si>
  <si>
    <t>The Bridge 8 8号桥1期</t>
  </si>
  <si>
    <t>One Lujiazui
时代金融中心</t>
  </si>
  <si>
    <t>上海市浦东新区世纪大道1198号</t>
  </si>
  <si>
    <t>世纪汇1座</t>
  </si>
  <si>
    <t>世纪汇一座</t>
  </si>
  <si>
    <t>上海市徐汇区长乐路989号世纪商贸广场</t>
  </si>
  <si>
    <t>the center</t>
  </si>
  <si>
    <t>上海市静安区南京西路1038号</t>
  </si>
  <si>
    <t>梅陇镇广场</t>
  </si>
  <si>
    <t>梅龙镇广场</t>
  </si>
  <si>
    <t>长宁来福士广场</t>
  </si>
  <si>
    <t>上海市静安区南京西路1038号梅陇镇广场西塔29楼</t>
  </si>
  <si>
    <t>上海市青浦区新府中路1331弄81号</t>
  </si>
  <si>
    <t>西郊半岛名苑</t>
  </si>
  <si>
    <t xml:space="preserve">上海市静安区南京西路1601号越洋广场17、18层  </t>
  </si>
  <si>
    <t>上海市静安区南京西路1168号中信泰富广场</t>
  </si>
  <si>
    <t>上海市静安区南京西路1038号梅龙镇广场2204-2205室</t>
  </si>
  <si>
    <t>上海市闵行区珠城路158号解放大厦3座18F</t>
  </si>
  <si>
    <t>解放大厦3座</t>
  </si>
  <si>
    <t>上海市静安区南京西路1539号静安嘉里中心办公楼2座</t>
  </si>
  <si>
    <t>静安嘉里中心办公楼2座</t>
  </si>
  <si>
    <t>上海市黄浦区肇周路333号</t>
  </si>
  <si>
    <t>肇周路333号</t>
  </si>
  <si>
    <t>上海市浦东新区浦东南路855号世界广场22E</t>
  </si>
  <si>
    <t>世界广场</t>
  </si>
  <si>
    <t>上海市静安区武定路458号洪安大厦13楼</t>
  </si>
  <si>
    <t>洪安大厦</t>
  </si>
  <si>
    <t>上海市浦东新区浦东南路588号浦东发展银行大厦31楼</t>
  </si>
  <si>
    <t>浦东发展银行大厦</t>
  </si>
  <si>
    <t>上海市徐汇区虹桥路1号港汇恒隆广场一座</t>
  </si>
  <si>
    <t>港汇恒隆广场一座</t>
  </si>
  <si>
    <t>上海市长宁区兴义路8号万都中心</t>
  </si>
  <si>
    <t>上海市静安区南京西路1601号越洋国际广场F18</t>
  </si>
  <si>
    <t>越洋国际广场</t>
  </si>
  <si>
    <t>上海市浦东新区张杨路500号华润时代广场11、12、14、23、31层</t>
  </si>
  <si>
    <t>上海市徐汇区柳州路399号甲610室</t>
  </si>
  <si>
    <t>恒地仓国际大厦</t>
  </si>
  <si>
    <t>上海市长宁区天山路18号兆益科技园901室</t>
  </si>
  <si>
    <t>兆益科技园</t>
  </si>
  <si>
    <t>博荟广场C栋</t>
  </si>
  <si>
    <t>上海市黄浦区徐家汇路618号日月光中心</t>
  </si>
  <si>
    <t>上海市静安区南京西路1168号中信泰富广场21楼08-09</t>
  </si>
  <si>
    <t>上海市浦东新区银城路88号尚悦湾写字楼2105室</t>
  </si>
  <si>
    <t>尚悦湾写字楼</t>
  </si>
  <si>
    <t>上海市静安区南京西路819号中创大厦</t>
  </si>
  <si>
    <t>中创大厦</t>
  </si>
  <si>
    <t>上海市黄浦区马当路388号SOHO复兴广场A座29楼</t>
  </si>
  <si>
    <t>SOHO复兴广场A座</t>
  </si>
  <si>
    <t>上海市静安区南京西路1515号2301-2310 室</t>
  </si>
  <si>
    <t>静安嘉里中心</t>
  </si>
  <si>
    <t>上海市徐汇区长乐路989号世纪商贸广场5楼</t>
  </si>
  <si>
    <t>上海市徐汇区龙耀路175号LUMINA星扬西岸中心</t>
  </si>
  <si>
    <t>LUMINA星扬西岸中心</t>
  </si>
  <si>
    <t>上海市黄浦区西藏中路585号10楼</t>
  </si>
  <si>
    <t>泛太平国际大厦</t>
  </si>
  <si>
    <t>上海市浦东新区博成路568号中国黄金大厦A座501室</t>
  </si>
  <si>
    <t>中国黄金大厦</t>
  </si>
  <si>
    <t>上海市浦东新区浦东南路528号上海证券大厦北楼1406室</t>
  </si>
  <si>
    <t>上海证券大厦</t>
  </si>
  <si>
    <t>上海市徐汇区肇嘉浜路807号上海五洲国际大厦1204室</t>
  </si>
  <si>
    <t>上海五洲国际大厦</t>
  </si>
  <si>
    <t>上海浦东新区世纪大道1198号世纪汇广场一座12层</t>
  </si>
  <si>
    <t>Centurylink世纪汇广场一座</t>
  </si>
  <si>
    <t>世纪汇广场一座</t>
  </si>
  <si>
    <t>上海市杨浦区惠民路379号光大安石中心</t>
  </si>
  <si>
    <t>EBA 光大安石中心</t>
  </si>
  <si>
    <t>杨浦光大安石中心</t>
  </si>
  <si>
    <t>上海市浦东新区龙阳路2277号永达国际大厦23楼06单元</t>
  </si>
  <si>
    <t>永达国际大厦</t>
  </si>
  <si>
    <t>上海市杨浦区杨树浦路2300号知兴大厦1B层A03-12室</t>
  </si>
  <si>
    <t>知兴大厦</t>
  </si>
  <si>
    <t>上海全辉律师事务所</t>
  </si>
  <si>
    <t>科恩国际中心</t>
  </si>
  <si>
    <t>前滩四方城 N/E/S</t>
  </si>
  <si>
    <t>上海市静安区南京西路699号东方投资大厦28楼</t>
  </si>
  <si>
    <t>东方投资大厦</t>
  </si>
  <si>
    <t>上海市徐汇区淮海西路55号</t>
  </si>
  <si>
    <t>申通信息广场</t>
  </si>
  <si>
    <t>上海市普陀区祁连山路1035弄339号1幢1层1439室</t>
  </si>
  <si>
    <t>祁连工业园</t>
  </si>
  <si>
    <t>上海市浦东新区南泉北路429号泰康保险大厦</t>
  </si>
  <si>
    <t>Taikang Insurance Tower 泰康保险大厦</t>
  </si>
  <si>
    <t>上海市浦东新区浦东南路528号上海证券大厦北塔17楼1701室</t>
  </si>
  <si>
    <t>上海市静安区南京西路1225号锦沧文华广场1103室</t>
  </si>
  <si>
    <t>上海市黄浦区蒙自路207号宏慧盟智园</t>
  </si>
  <si>
    <t>宏慧盟智园</t>
  </si>
  <si>
    <t>上海市静安区华康路118号</t>
  </si>
  <si>
    <t>不夜城电话局大厦</t>
  </si>
  <si>
    <t>上海市浦东新区东明路2100号</t>
  </si>
  <si>
    <t>万科2049五玠坊</t>
  </si>
  <si>
    <t>上海市闵行区吴中路1599号</t>
  </si>
  <si>
    <t>长宁万象城</t>
  </si>
  <si>
    <t>万象城</t>
  </si>
  <si>
    <t>上海市闵行区宜山路2000号利丰主楼12楼</t>
  </si>
  <si>
    <t>Daning</t>
  </si>
  <si>
    <t>上海市宝山区共和新路5000弄2号</t>
  </si>
  <si>
    <t>上海市静安区裕通路89号</t>
  </si>
  <si>
    <t>静安国际</t>
  </si>
  <si>
    <t>jic静安国际中心商场</t>
  </si>
  <si>
    <t>上海市静安区胶州路757号</t>
  </si>
  <si>
    <t>胶州路757号</t>
  </si>
  <si>
    <t>胶州路827弄1-20号院</t>
  </si>
  <si>
    <t>嘉地广场</t>
  </si>
  <si>
    <t>华敏帝豪大厦</t>
  </si>
  <si>
    <t>Huaihai Road</t>
  </si>
  <si>
    <t>上海市黄浦区太仓路181弄新天地广场</t>
  </si>
  <si>
    <t>太仓路181弄新天地广场19-23号</t>
  </si>
  <si>
    <t>新天地广场</t>
  </si>
  <si>
    <t>上海市静安区南京西路1515号</t>
  </si>
  <si>
    <t>Jing An Kerry Centre Tower 3 静安嘉里中心3座</t>
  </si>
  <si>
    <t>静安嘉里中心3座</t>
  </si>
  <si>
    <t>石门一路288号兴业太古汇香港兴业中心一座第35层3501-3508 &amp; 3512室</t>
  </si>
  <si>
    <t>Jing An Kerry Centre Tower 2 静安嘉里中心2座</t>
  </si>
  <si>
    <t>静安香格里拉大酒店</t>
  </si>
  <si>
    <t>外滩金融中心S1、S2</t>
  </si>
  <si>
    <t>上海市黄浦区中山南路28号久事大厦</t>
  </si>
  <si>
    <t>中山南路28号久事大厦主楼11楼A、B、C、D、E、F、G室</t>
  </si>
  <si>
    <t>久事大厦</t>
  </si>
  <si>
    <t xml:space="preserve"> 上海市徐汇区虹桥路3号</t>
  </si>
  <si>
    <t xml:space="preserve"> 徐汇区 虹桥路3号</t>
  </si>
  <si>
    <t>港汇恒隆广场港汇中心2座</t>
  </si>
  <si>
    <t>上海市黄浦区西藏中路168号</t>
  </si>
  <si>
    <t>JAKC T2</t>
  </si>
  <si>
    <t>上海市黄浦区黄陂北路227号</t>
  </si>
  <si>
    <t>黄浦区黄陂北路227号</t>
  </si>
  <si>
    <t>中区广场</t>
  </si>
  <si>
    <t>Taikang Insurance Tower
泰康保险大厦</t>
  </si>
  <si>
    <t>上海市黄浦区淮海中路300号上海K11购物艺术中心F1</t>
  </si>
  <si>
    <t>From K11 MFGBlackhills</t>
  </si>
  <si>
    <t>香港新世界大厦上海k11购物艺术中心</t>
  </si>
  <si>
    <t>上海市长宁区娄山关路523-533号</t>
  </si>
  <si>
    <t>金虹桥中心</t>
  </si>
  <si>
    <t>上海市静安区安远路555号</t>
  </si>
  <si>
    <t>玫琳凯大厦</t>
  </si>
  <si>
    <t>静安门玫琳凯大厦</t>
  </si>
  <si>
    <t>上海市黄浦区南京西路288号31楼</t>
  </si>
  <si>
    <t>上海市虹口区东长治路399号双狮汇B栋三层301-303</t>
  </si>
  <si>
    <t>双狮汇大厦</t>
  </si>
  <si>
    <t>上海市徐汇区肇嘉浜路789号均瑶国际广场16楼A单元</t>
  </si>
  <si>
    <t>均瑶国际广场</t>
  </si>
  <si>
    <t>上海市黄浦区南京西路1717号会德丰国际广场20楼</t>
  </si>
  <si>
    <t>上海市长宁区长宁路1133号来福士办公楼T1座3009-3012单元</t>
  </si>
  <si>
    <t>福士办公楼T1座</t>
  </si>
  <si>
    <t>上海金融街中心一期A座</t>
  </si>
  <si>
    <t>上海长宁区天山路1717号天山SOHOT2栋1105B</t>
  </si>
  <si>
    <t>天山SOHOT2栋</t>
  </si>
  <si>
    <t>苏河湾中心A栋</t>
  </si>
  <si>
    <t>上海市静安区南京西路1717号会德丰国际广场</t>
  </si>
  <si>
    <t>Sichuan N. Rd.</t>
  </si>
  <si>
    <t>上海市奉贤区奉浦社区环城东路255号华怡大厦G座</t>
  </si>
  <si>
    <t>华怡大厦</t>
  </si>
  <si>
    <t>上海市静安区南京西路1038号梅陇镇广场</t>
  </si>
  <si>
    <t>Westgate Tower 梅龙镇广场</t>
  </si>
  <si>
    <t>上海市徐汇区徐家汇街道文定路228号德必徐家汇web座4层403室</t>
  </si>
  <si>
    <t>德必徐家汇</t>
  </si>
  <si>
    <t>上海市静安区淮安路668号百空间1幢3层3E室</t>
  </si>
  <si>
    <t>百空间</t>
  </si>
  <si>
    <t>Westgate梅陇镇</t>
  </si>
  <si>
    <t>上海市静安区广中西路777弄88号1101-6室</t>
  </si>
  <si>
    <t>华清大厦</t>
  </si>
  <si>
    <t>上海市徐汇区中山西路1602号801-808室</t>
  </si>
  <si>
    <t>宏汇国际</t>
  </si>
  <si>
    <t>上海市徐汇区淮海中路1010号</t>
  </si>
  <si>
    <t>嘉华</t>
  </si>
  <si>
    <t>上海市黄浦区斜土东路176号昂云空间401室</t>
  </si>
  <si>
    <t>昂云空间</t>
  </si>
  <si>
    <t>上海市闵行区申昆路1999号1幢2层237室</t>
  </si>
  <si>
    <t>星月虹桥中心</t>
  </si>
  <si>
    <t>中国（上海）自由贸易试验区世纪大道1600号1幢19层3单元</t>
  </si>
  <si>
    <t>上海市普陀区云岭西路600弄6号5楼5098室</t>
  </si>
  <si>
    <t>金环商务花园</t>
  </si>
  <si>
    <t>上海市徐汇区宜山路700号</t>
  </si>
  <si>
    <t>Feng Lin Ke Chuang Park 枫林科创园</t>
  </si>
  <si>
    <t>上海市普陀区岚皋路555号</t>
  </si>
  <si>
    <t>普陀品尊</t>
  </si>
  <si>
    <t>中国（上海）自由贸易试验区浦东大道2123号3E-2771室</t>
  </si>
  <si>
    <t>龙珠广场</t>
  </si>
  <si>
    <t>上海市嘉定区真新新村街道万镇路599号2幢4层JT1810室</t>
  </si>
  <si>
    <t>3131梅川商务园</t>
  </si>
  <si>
    <t>上海市普陀区丹巴路98弄7号楼11楼</t>
  </si>
  <si>
    <t>丹巴路98弄7号楼11楼</t>
  </si>
  <si>
    <t>龙裕财富中心</t>
  </si>
  <si>
    <t>上海市浦东新区金科路2889弄</t>
  </si>
  <si>
    <t>Chamtime Plaza Building B 长泰广场B栋</t>
  </si>
  <si>
    <t>长泰广场</t>
  </si>
  <si>
    <t>诸光路1588弄520号801-807室</t>
  </si>
  <si>
    <t>虹桥世界中心</t>
  </si>
  <si>
    <t>上海市普陀区中江路879弄25号4楼</t>
  </si>
  <si>
    <t>天地软件园</t>
  </si>
  <si>
    <t>上海市浦东新区浦东大道720号</t>
  </si>
  <si>
    <t>International Ocean Shipping and Finance Center 国际航运金融大厦</t>
  </si>
  <si>
    <t>国际航运金融大厦</t>
  </si>
  <si>
    <t>上海市长宁区淞虹路377号T2东801、802、806</t>
  </si>
  <si>
    <t>长宁区淞虹路377号T2东801、802、806</t>
  </si>
  <si>
    <t>虹桥光大安石</t>
  </si>
  <si>
    <t>上海市杨浦区淞沪路234号</t>
  </si>
  <si>
    <t>KIC Corporate Avenue
创智企业天地</t>
  </si>
  <si>
    <t>创智天地广场</t>
  </si>
  <si>
    <t>Zhongshan Park</t>
  </si>
  <si>
    <t>上海市长宁区凯旋路399号1855室</t>
  </si>
  <si>
    <t>龙之梦雅仕</t>
  </si>
  <si>
    <t>上海市虹口区中山北一路9号</t>
  </si>
  <si>
    <t>虹口区中山北一路9号</t>
  </si>
  <si>
    <t>近铁虹口金融产业园</t>
  </si>
  <si>
    <t>上海市虹口区四川北路1851号</t>
  </si>
  <si>
    <t>荣欣大厦</t>
  </si>
  <si>
    <t>上海市普陀区真北路2167号</t>
  </si>
  <si>
    <t>鸿海大厦 普陀</t>
  </si>
  <si>
    <t>鸿海大厦</t>
  </si>
  <si>
    <t>上海市静安区万荣路1218弄</t>
  </si>
  <si>
    <t>上海信息服务外包产业园龙软万荣基地</t>
  </si>
  <si>
    <t>上海市虹口区四川北路859号中信广场</t>
  </si>
  <si>
    <t>中信广场</t>
  </si>
  <si>
    <t>上海市静安区沪太路799号</t>
  </si>
  <si>
    <t>沪太路799号4幢301-2室</t>
  </si>
  <si>
    <t>上海新慧谷科技产业园</t>
  </si>
  <si>
    <t>上海市普陀区金沙江路1977弄3号</t>
  </si>
  <si>
    <t>上海市普陀区金沙江路1977弄3号701室</t>
  </si>
  <si>
    <t>上海市青浦区公园路99号</t>
  </si>
  <si>
    <t>上海市青浦区公园路99号舜浦大厦7层V区725室</t>
  </si>
  <si>
    <t>舜浦大厦</t>
  </si>
  <si>
    <t>上海市普陀区云岭西路600弄5号5楼508室</t>
  </si>
  <si>
    <t>上海市虹口区四川北路859号</t>
  </si>
  <si>
    <t>四川北路859号中信广场4701-4708室</t>
  </si>
  <si>
    <t>上海市浦东新区浦东世纪大道210号</t>
  </si>
  <si>
    <t>21st Century Tower 二十一世纪中心大厦</t>
  </si>
  <si>
    <t>二十一世纪大厦</t>
  </si>
  <si>
    <t>上海市黄浦区桃源路85号</t>
  </si>
  <si>
    <t>永银大厦</t>
  </si>
  <si>
    <t>上海市长宁区杨宅路258号</t>
  </si>
  <si>
    <t>长宁区环东华·智尚源405</t>
  </si>
  <si>
    <t>上海工程公司第三分公司上服T STAR智尚园</t>
  </si>
  <si>
    <t>上海市静安区江宁路167号</t>
  </si>
  <si>
    <t>江宁路新城大厦</t>
  </si>
  <si>
    <t>银发大厦新城大厦(江宁路)</t>
  </si>
  <si>
    <t>长宁区愚园路1258号近安西路</t>
  </si>
  <si>
    <t>绿地商务大厦</t>
  </si>
  <si>
    <t>绿地商务绿地商务大厦</t>
  </si>
  <si>
    <t>上海市黄浦区西藏中路585号新金桥广场</t>
  </si>
  <si>
    <t>新金桥广场</t>
  </si>
  <si>
    <t>上海市静安区南京西路128号</t>
  </si>
  <si>
    <t>南京西路128号7楼</t>
  </si>
  <si>
    <t>永新广场</t>
  </si>
  <si>
    <t>上海市浦东新区陆家嘴东路161号</t>
  </si>
  <si>
    <t>招商局大厦</t>
  </si>
  <si>
    <t>上海招商局大厦</t>
  </si>
  <si>
    <t>Headquarter's Building
都市总部大厦</t>
  </si>
  <si>
    <t>上海市徐汇区肇嘉浜路1111号</t>
  </si>
  <si>
    <t>美罗城</t>
  </si>
  <si>
    <t>上海市静安区南京西路1717号会德丰国际广场49楼3室</t>
  </si>
  <si>
    <t>上海市杨浦区殷行路1286号2号楼1001室</t>
  </si>
  <si>
    <t>嘉誉国际广场写字楼西楼</t>
  </si>
  <si>
    <t>上海市静安区沪太路785号22幢221室</t>
  </si>
  <si>
    <t>沪太路785号22幢</t>
  </si>
  <si>
    <t>上海市奉贤区金海公路6055号临港南桥智行广场11幢5层</t>
  </si>
  <si>
    <t>临港南桥智行广场</t>
  </si>
  <si>
    <t>上海市宝山区宝林八村101号2幢5001室</t>
  </si>
  <si>
    <t>宝林八村2幢</t>
  </si>
  <si>
    <t>四方城W2</t>
  </si>
  <si>
    <t>上海市长宁区延安西路1262号上生新所20栋</t>
  </si>
  <si>
    <t>上生新所20栋</t>
  </si>
  <si>
    <t>上海市静安区武定路555号522、523室</t>
  </si>
  <si>
    <t>武定路555号</t>
  </si>
  <si>
    <t>上海市浦东新区福山路450号新天国际大厦24楼CD座</t>
  </si>
  <si>
    <t>新天国际大厦</t>
  </si>
  <si>
    <t>上海市黄浦区南京东路299号宏伊国际广场</t>
  </si>
  <si>
    <t>宏伊国际广场</t>
  </si>
  <si>
    <t>上海市普陀区澳门路519弄华生大厦1号楼1201室</t>
  </si>
  <si>
    <t>华生大厦</t>
  </si>
  <si>
    <t>上海市黄浦区马当路388号SOHO复兴广场A幢A2401-A2404,A2601-2604，A2701A室、A2701B室</t>
  </si>
  <si>
    <t>SOHO复兴广场A幢</t>
  </si>
  <si>
    <t>中港汇·静安</t>
  </si>
  <si>
    <t>上海市静安区恒通路318号凯德星贸</t>
  </si>
  <si>
    <t>凯德星贸中心写字楼</t>
  </si>
  <si>
    <t>上海市徐汇区凯滨路183号保利西岸中心B座801</t>
  </si>
  <si>
    <t>保利西岸中心B座</t>
  </si>
  <si>
    <t>上海市徐汇区虹桥路355号城开国际大厦</t>
  </si>
  <si>
    <t>城开国际大厦</t>
  </si>
  <si>
    <t>旭辉企业大厦</t>
  </si>
  <si>
    <t>上海市浦东新区世纪大道1229号世纪大都会10层01、04单元、11层</t>
  </si>
  <si>
    <t>上海市普陀区云岭西路600弄金环商务花园南园5号5楼508室</t>
  </si>
  <si>
    <t>金环商务花园南园5号</t>
  </si>
  <si>
    <t>上海市宝山区铁力路785号吴淞泗塘生态产业园9幢A1101室</t>
  </si>
  <si>
    <t>吴淞泗塘生态产业园9幢</t>
  </si>
  <si>
    <t>上海市徐汇区漕河泾新兴技术开发区虹梅路1801号凯科国际大厦</t>
  </si>
  <si>
    <t>凯科</t>
  </si>
  <si>
    <t>上海市徐汇区古美路1528号现代服务业集聚区总部园区A2幢16楼</t>
  </si>
  <si>
    <t>现代服务业集聚区总部园区</t>
  </si>
  <si>
    <t>上海市黄浦区黄陂南路838弄上海中海国际中心</t>
  </si>
  <si>
    <t>上海市闵行区东川路555号紫竹科技园己楼2层0700室</t>
  </si>
  <si>
    <t>紫竹科技园己楼</t>
  </si>
  <si>
    <t>上海市金山区朱泾镇沈浦泾路28号金山资本集团北部经济园</t>
  </si>
  <si>
    <t>金山资本集团北部经济园</t>
  </si>
  <si>
    <t>上海市浦东新区海科路666号惠生中心</t>
  </si>
  <si>
    <t>惠生中心</t>
  </si>
  <si>
    <t>上海市崇明区长兴镇江南大道1333弄临港长兴科技园11号楼3503室</t>
  </si>
  <si>
    <t>临港长兴科技园</t>
  </si>
  <si>
    <t>上海市长宁区长宁路1018号龙之梦城市生活中心</t>
  </si>
  <si>
    <t>Changning Logemont龙之梦城市生活中心</t>
  </si>
  <si>
    <t>上海市徐汇区龙耀路175号</t>
  </si>
  <si>
    <t>Lumina星扬西岸中心</t>
  </si>
  <si>
    <t>上海市普陀区同普路800弄4号臣风大厦404室</t>
  </si>
  <si>
    <t>臣风大厦</t>
  </si>
  <si>
    <t>上海市浦东新区陆家嘴世纪大道8号</t>
  </si>
  <si>
    <t>2 ifc</t>
  </si>
  <si>
    <t>上海市徐汇区虹桥路355号305室</t>
  </si>
  <si>
    <t>上海市嘉定区真南路4268号2幢J1902室</t>
  </si>
  <si>
    <t>真南路4268号2幢</t>
  </si>
  <si>
    <t>上海市杨浦区国宾路18号1601-8室</t>
  </si>
  <si>
    <t>五角场万达</t>
  </si>
  <si>
    <t>上海市静安区山海关路388号</t>
  </si>
  <si>
    <t>One Museum Place 博华广场</t>
  </si>
  <si>
    <t>OMP</t>
  </si>
  <si>
    <t>上海市徐汇区云锦路500号绿地汇中心B座</t>
  </si>
  <si>
    <t>绿地汇中心B座18F</t>
  </si>
  <si>
    <t>上海市徐汇区枫林路街道中山南二路440号宝溢丰大厦</t>
  </si>
  <si>
    <t>Baoyifeng Building 宝溢丰大厦</t>
  </si>
  <si>
    <t>宝溢丰大厦</t>
  </si>
  <si>
    <t>上海市浦东新区陆家嘴街道银城中路501号上海中心大厦55楼5501室</t>
  </si>
  <si>
    <t>上海中心大厦</t>
  </si>
  <si>
    <t>上海市长宁区通协路269号建滔商业广场6号楼5楼</t>
  </si>
  <si>
    <t>建滔商业广场</t>
  </si>
  <si>
    <t>上海市静安区西康路223号</t>
  </si>
  <si>
    <t>东隆友邦大厦</t>
  </si>
  <si>
    <t>上海市宝山区高逸路80号</t>
  </si>
  <si>
    <t>北大科技园</t>
  </si>
  <si>
    <t>上海市徐汇区龙腾大道 2121 号众腾大厦 1 号楼</t>
  </si>
  <si>
    <t>众腾大厦</t>
  </si>
  <si>
    <t>上海市虹口区东大名路1098号</t>
  </si>
  <si>
    <t>shanghai point</t>
  </si>
  <si>
    <t>影梦里</t>
  </si>
  <si>
    <t>上海市普陀区中山北路2550号</t>
  </si>
  <si>
    <t>物贸大厦上海物资贸易中心大厦</t>
  </si>
  <si>
    <t>中山北路2550号810室</t>
  </si>
  <si>
    <t>物贸大厦</t>
  </si>
  <si>
    <t>上海市长宁区福泉北路388号</t>
  </si>
  <si>
    <t>长宁 东方国信广场</t>
  </si>
  <si>
    <t>虹桥东方国信商务广场B座</t>
  </si>
  <si>
    <t>上海市嘉定区墨玉南路1018号</t>
  </si>
  <si>
    <t>墨玉南路1018号20层</t>
  </si>
  <si>
    <t>西上海大厦</t>
  </si>
  <si>
    <t>上海市嘉定区安亭镇于田南路111号于田大厦12层、15层、16层</t>
  </si>
  <si>
    <t>于田大厦</t>
  </si>
  <si>
    <t>上海市长宁区江苏路398号</t>
  </si>
  <si>
    <t>Sunyoung plaza  舜元企业发展大厦</t>
  </si>
  <si>
    <t>舜元天地</t>
  </si>
  <si>
    <t>上海市浦东新区杨高南路428号由由世纪广场</t>
  </si>
  <si>
    <t>由由世纪广场1号楼</t>
  </si>
  <si>
    <t>由由世纪广场</t>
  </si>
  <si>
    <t>陆家嘴世纪金融广场 5&amp;6</t>
  </si>
  <si>
    <t>上海市浦东新区浦电路438号</t>
  </si>
  <si>
    <t>双鸽大厦</t>
  </si>
  <si>
    <t>上海市静安区南京西路1266号恒隆广场</t>
  </si>
  <si>
    <t>上海市静安区铜仁路299号</t>
  </si>
  <si>
    <t>From SOHO 东海</t>
  </si>
  <si>
    <t>上海市浦东新区世纪大道1229号世纪大都会1号楼</t>
  </si>
  <si>
    <t>上海市浦东新区世纪大道1229号世纪大都会1号楼7楼</t>
  </si>
  <si>
    <t>浦东世纪大都会</t>
  </si>
  <si>
    <t>上海市浦东新区东育路 227弄 6号前滩世贸中心（二期）D栋 6楼 603室</t>
  </si>
  <si>
    <t>前滩世贸中心（二期）D栋</t>
  </si>
  <si>
    <t>上海市浦东新区南汇工业园区园中路588号14幢</t>
  </si>
  <si>
    <t>南汇工业园区园中路588号14幢</t>
  </si>
  <si>
    <t>上海市静安区南京西路699号东方投资大厦1603室</t>
  </si>
  <si>
    <t>上海市静安区永和路390号</t>
  </si>
  <si>
    <t>永和路390号</t>
  </si>
  <si>
    <t>上海市长宁区江苏路398号舜元企业发展大厦</t>
  </si>
  <si>
    <t>舜元企业发展大厦</t>
  </si>
  <si>
    <t>上海市普陀区中山北路3018号长城大厦</t>
  </si>
  <si>
    <t>长城大厦</t>
  </si>
  <si>
    <t>上海市闵行区申长路1588弄中骏广场一期6号楼唯品会大楼三层</t>
  </si>
  <si>
    <t>唯品会大楼</t>
  </si>
  <si>
    <t>上海市闵行区华漕镇淮虹路958弄1号</t>
  </si>
  <si>
    <t>虹桥富力中心</t>
  </si>
  <si>
    <t>上海市闵行区甬虹路69号虹桥绿谷</t>
  </si>
  <si>
    <t>虹桥绿谷</t>
  </si>
  <si>
    <t>上海市普陀区中山北路3553号伸大厦20楼</t>
  </si>
  <si>
    <t>伸大厦</t>
  </si>
  <si>
    <t>上海市闵行区吴中路1799号万象城D座</t>
  </si>
  <si>
    <t>万象城写字楼D座</t>
  </si>
  <si>
    <t>上海市徐汇区斜土路2899甲号光启文化广场1幢601室</t>
  </si>
  <si>
    <t>光启文化广场1幢</t>
  </si>
  <si>
    <t>Xinzhuang</t>
  </si>
  <si>
    <t>上海市徐汇区古美路1515号凤凰大楼（19号楼）17层</t>
  </si>
  <si>
    <t>凤凰大楼</t>
  </si>
  <si>
    <t>上海市浦东新区祖冲之路2290号展想广场2幢19楼</t>
  </si>
  <si>
    <t>展想广场2幢</t>
  </si>
  <si>
    <t>上海市虹口区东大名路 501 号上海白玉兰广场48 层 01-08 单元</t>
  </si>
  <si>
    <t>上海白玉兰广场</t>
  </si>
  <si>
    <t>上海市长宁区虹桥路1452号古北国际财富中心1001、1003室</t>
  </si>
  <si>
    <t>古北国际财富中心</t>
  </si>
  <si>
    <t>上海市长宁区凯旋路369号龙之梦雅仕大厦</t>
  </si>
  <si>
    <t>龙之梦雅仕大厦</t>
  </si>
  <si>
    <t>上海市徐汇区古美路1595号宝石园</t>
  </si>
  <si>
    <t>宝石园</t>
  </si>
  <si>
    <t>上海市徐汇区陕西南路288号环贸广场办公楼二期27层部分2711-12室</t>
  </si>
  <si>
    <t>环贸广场办公楼二期</t>
  </si>
  <si>
    <t>上海市浦东新区明月路1257号10号楼4楼</t>
  </si>
  <si>
    <t>金桥现代产业服务园区10号楼</t>
  </si>
  <si>
    <t>上海市浦东新区耀元路58号中农投大厦11楼</t>
  </si>
  <si>
    <t>中农投大厦</t>
  </si>
  <si>
    <t>上海市浦东新区世纪大道1800号陆家嘴金控广场1号楼</t>
  </si>
  <si>
    <t>前滩世贸</t>
  </si>
  <si>
    <t>吉汇大厦 Trinity Tower</t>
  </si>
  <si>
    <t>上海市浦东新区浦三路21弄银亿滨江中心D座2层</t>
  </si>
  <si>
    <t>银亿滨江中心D座</t>
  </si>
  <si>
    <t>上海市黄浦区南京西路288号创兴金融中心</t>
  </si>
  <si>
    <t>Chong Hing Finance Center 创兴金融中心</t>
  </si>
  <si>
    <t>上海市普陀区曹杨路1888弄11号星光耀写字楼8楼807室-G</t>
  </si>
  <si>
    <t>星光耀写字楼</t>
  </si>
  <si>
    <t>International Corporate City 长城大厦</t>
  </si>
  <si>
    <t>上海市普陀区中山北路3000号长城大厦32层</t>
  </si>
  <si>
    <t>上海市虹口区吴淞路575号吉汇大厦</t>
  </si>
  <si>
    <t>上海市静安区石门一路288号香港兴业太古汇办公一期</t>
  </si>
  <si>
    <t>HKRI I</t>
  </si>
  <si>
    <t>兴业太古汇</t>
  </si>
  <si>
    <t>上海市长宁区长宁路1139号长宁来福士广场</t>
  </si>
  <si>
    <t>Raffles City Changning长宁来福士广场</t>
  </si>
  <si>
    <t>上海市浦东新区世纪大道1192号</t>
  </si>
  <si>
    <t>Century Link</t>
  </si>
  <si>
    <t>上海市静安区石门二路333号恒安大厦6B</t>
  </si>
  <si>
    <t>恒安大厦</t>
  </si>
  <si>
    <t>上海市凯旋路399号龙之梦雅仕大厦303室</t>
  </si>
  <si>
    <t>全斯美德</t>
  </si>
  <si>
    <t>东长治路588号</t>
  </si>
  <si>
    <t>白玉兰</t>
  </si>
  <si>
    <t>上海市静安区裕通路100号45楼4501-1、2单元</t>
  </si>
  <si>
    <t>宝矿洲际</t>
  </si>
  <si>
    <t>(有两项未填租金)</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</si>
</sst>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1" formatCode="_ * #,##0_ ;_ * \-#,##0_ ;_ * &quot;-&quot;_ ;_ @_ "/>
    <numFmt numFmtId="42" formatCode="_ &quot;￥&quot;* #,##0_ ;_ &quot;￥&quot;* \-#,##0_ ;_ &quot;￥&quot;* &quot;-&quot;_ ;_ @_ "/>
    <numFmt numFmtId="44" formatCode="_ &quot;￥&quot;* #,##0.00_ ;_ &quot;￥&quot;* \-#,##0.00_ ;_ &quot;￥&quot;* &quot;-&quot;??_ ;_ @_ "/>
    <numFmt numFmtId="176" formatCode="_(* #,##0.00_);_(* \(#,##0.00\);_(* &quot;-&quot;??_);_(@_)"/>
    <numFmt numFmtId="177" formatCode="0.0"/>
    <numFmt numFmtId="178" formatCode="_(* #,##0_);_(* \(#,##0\);_(* &quot;-&quot;??_);_(@_)"/>
    <numFmt numFmtId="179" formatCode="0_);[Red]\(0\)"/>
    <numFmt numFmtId="180" formatCode="0.0%"/>
    <numFmt numFmtId="181" formatCode="0.00_);[Red]\(0.00\)"/>
  </numFmts>
  <fonts count="26">
    <font>
      <sz val="11"/>
      <color theme="1"/>
      <name val="等线"/>
      <charset val="134"/>
      <scheme val="minor"/>
    </font>
    <font>
      <sz val="11"/>
      <color theme="1"/>
      <name val="微软雅黑"/>
      <charset val="134"/>
    </font>
    <font>
      <b/>
      <sz val="11"/>
      <color theme="1"/>
      <name val="等线"/>
      <charset val="134"/>
      <scheme val="minor"/>
    </font>
    <font>
      <b/>
      <sz val="11"/>
      <color rgb="FFFF0000"/>
      <name val="等线"/>
      <charset val="134"/>
      <scheme val="minor"/>
    </font>
    <font>
      <sz val="11"/>
      <color rgb="FFFF0000"/>
      <name val="等线"/>
      <charset val="134"/>
      <scheme val="minor"/>
    </font>
    <font>
      <sz val="9.6"/>
      <color rgb="FF444444"/>
      <name val="Verdana"/>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theme="1"/>
      <name val="Calibri"/>
      <charset val="134"/>
    </font>
  </fonts>
  <fills count="41">
    <fill>
      <patternFill patternType="none"/>
    </fill>
    <fill>
      <patternFill patternType="gray125"/>
    </fill>
    <fill>
      <patternFill patternType="solid">
        <fgColor theme="5" tint="0.599993896298105"/>
        <bgColor indexed="64"/>
      </patternFill>
    </fill>
    <fill>
      <patternFill patternType="solid">
        <fgColor theme="0" tint="-0.249977111117893"/>
        <bgColor indexed="64"/>
      </patternFill>
    </fill>
    <fill>
      <patternFill patternType="solid">
        <fgColor theme="2"/>
        <bgColor indexed="64"/>
      </patternFill>
    </fill>
    <fill>
      <patternFill patternType="solid">
        <fgColor theme="8" tint="0.799951170384838"/>
        <bgColor indexed="64"/>
      </patternFill>
    </fill>
    <fill>
      <patternFill patternType="solid">
        <fgColor theme="9" tint="0.799920651875362"/>
        <bgColor indexed="64"/>
      </patternFill>
    </fill>
    <fill>
      <patternFill patternType="solid">
        <fgColor theme="0" tint="-0.149937437055574"/>
        <bgColor indexed="64"/>
      </patternFill>
    </fill>
    <fill>
      <patternFill patternType="solid">
        <fgColor theme="7" tint="0.799920651875362"/>
        <bgColor indexed="64"/>
      </patternFill>
    </fill>
    <fill>
      <patternFill patternType="solid">
        <fgColor rgb="FFFFFF00"/>
        <bgColor indexed="64"/>
      </patternFill>
    </fill>
    <fill>
      <patternFill patternType="solid">
        <fgColor theme="7" tint="0.39994506668294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11"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12" borderId="4" applyNumberFormat="0" applyAlignment="0" applyProtection="0">
      <alignment vertical="center"/>
    </xf>
    <xf numFmtId="0" fontId="15" fillId="13" borderId="5" applyNumberFormat="0" applyAlignment="0" applyProtection="0">
      <alignment vertical="center"/>
    </xf>
    <xf numFmtId="0" fontId="16" fillId="13" borderId="4" applyNumberFormat="0" applyAlignment="0" applyProtection="0">
      <alignment vertical="center"/>
    </xf>
    <xf numFmtId="0" fontId="17" fillId="14"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4" fillId="34" borderId="0" applyNumberFormat="0" applyBorder="0" applyAlignment="0" applyProtection="0">
      <alignment vertical="center"/>
    </xf>
    <xf numFmtId="0" fontId="24" fillId="35" borderId="0" applyNumberFormat="0" applyBorder="0" applyAlignment="0" applyProtection="0">
      <alignment vertical="center"/>
    </xf>
    <xf numFmtId="0" fontId="23" fillId="36" borderId="0" applyNumberFormat="0" applyBorder="0" applyAlignment="0" applyProtection="0">
      <alignment vertical="center"/>
    </xf>
    <xf numFmtId="0" fontId="23" fillId="37" borderId="0" applyNumberFormat="0" applyBorder="0" applyAlignment="0" applyProtection="0">
      <alignment vertical="center"/>
    </xf>
    <xf numFmtId="0" fontId="24" fillId="38" borderId="0" applyNumberFormat="0" applyBorder="0" applyAlignment="0" applyProtection="0">
      <alignment vertical="center"/>
    </xf>
    <xf numFmtId="0" fontId="24" fillId="39" borderId="0" applyNumberFormat="0" applyBorder="0" applyAlignment="0" applyProtection="0">
      <alignment vertical="center"/>
    </xf>
    <xf numFmtId="0" fontId="23" fillId="40" borderId="0" applyNumberFormat="0" applyBorder="0" applyAlignment="0" applyProtection="0">
      <alignment vertical="center"/>
    </xf>
  </cellStyleXfs>
  <cellXfs count="43">
    <xf numFmtId="0" fontId="0" fillId="0" borderId="0" xfId="0"/>
    <xf numFmtId="0" fontId="0" fillId="2" borderId="0" xfId="0" applyFill="1" applyAlignment="1">
      <alignment horizontal="center" vertical="center"/>
    </xf>
    <xf numFmtId="0" fontId="1" fillId="0" borderId="0" xfId="0" applyFont="1" applyFill="1" applyAlignment="1">
      <alignment horizontal="center" vertical="center" wrapText="1"/>
    </xf>
    <xf numFmtId="0" fontId="0" fillId="3" borderId="0" xfId="0" applyFill="1" applyAlignment="1">
      <alignment horizontal="left" vertical="center"/>
    </xf>
    <xf numFmtId="0" fontId="2" fillId="0" borderId="0" xfId="0" applyFont="1" applyFill="1" applyAlignment="1">
      <alignment horizontal="center" vertical="center" wrapText="1"/>
    </xf>
    <xf numFmtId="0" fontId="2" fillId="4" borderId="0" xfId="0" applyFont="1" applyFill="1" applyAlignment="1">
      <alignment horizontal="center" vertical="center" wrapText="1"/>
    </xf>
    <xf numFmtId="0" fontId="3" fillId="0" borderId="0" xfId="0" applyFont="1" applyFill="1" applyAlignment="1">
      <alignment horizontal="center" vertical="center" wrapText="1"/>
    </xf>
    <xf numFmtId="0" fontId="3" fillId="5" borderId="0" xfId="0" applyFont="1" applyFill="1" applyAlignment="1">
      <alignment horizontal="center" vertical="center" wrapText="1"/>
    </xf>
    <xf numFmtId="0" fontId="0" fillId="0" borderId="0" xfId="0" applyAlignment="1">
      <alignment horizontal="left" vertical="center"/>
    </xf>
    <xf numFmtId="14" fontId="0" fillId="3" borderId="0" xfId="0" applyNumberFormat="1" applyFill="1" applyAlignment="1">
      <alignment horizontal="left" vertical="center"/>
    </xf>
    <xf numFmtId="177" fontId="0" fillId="6" borderId="0" xfId="0" applyNumberFormat="1" applyFill="1" applyAlignment="1">
      <alignment horizontal="left" vertical="center"/>
    </xf>
    <xf numFmtId="178" fontId="0" fillId="0" borderId="0" xfId="1" applyNumberFormat="1" applyFont="1" applyAlignment="1">
      <alignment horizontal="left" vertical="center"/>
    </xf>
    <xf numFmtId="0" fontId="0" fillId="7" borderId="0" xfId="0" applyFill="1" applyAlignment="1">
      <alignment horizontal="left" vertical="center"/>
    </xf>
    <xf numFmtId="177" fontId="0" fillId="8" borderId="0" xfId="0" applyNumberFormat="1" applyFill="1" applyAlignment="1">
      <alignment horizontal="left" vertical="center"/>
    </xf>
    <xf numFmtId="177" fontId="4" fillId="9" borderId="0" xfId="0" applyNumberFormat="1" applyFont="1" applyFill="1" applyAlignment="1">
      <alignment horizontal="left" vertical="center"/>
    </xf>
    <xf numFmtId="0" fontId="0" fillId="5" borderId="0" xfId="0" applyFill="1"/>
    <xf numFmtId="0" fontId="4" fillId="5" borderId="0" xfId="0" applyFont="1" applyFill="1"/>
    <xf numFmtId="0" fontId="0" fillId="0" borderId="0" xfId="0" applyAlignment="1">
      <alignment horizontal="left" vertical="center" wrapText="1"/>
    </xf>
    <xf numFmtId="177" fontId="0" fillId="0" borderId="0" xfId="0" applyNumberFormat="1" applyAlignment="1">
      <alignment horizontal="left" vertical="center"/>
    </xf>
    <xf numFmtId="178" fontId="0" fillId="0" borderId="0" xfId="1" applyNumberFormat="1" applyFont="1" applyFill="1" applyAlignment="1">
      <alignment horizontal="left" vertical="center"/>
    </xf>
    <xf numFmtId="0" fontId="0" fillId="10" borderId="0" xfId="0" applyFont="1" applyFill="1" applyAlignment="1">
      <alignment horizontal="left"/>
    </xf>
    <xf numFmtId="0" fontId="0" fillId="10" borderId="0" xfId="0" applyFill="1"/>
    <xf numFmtId="0" fontId="0" fillId="10" borderId="0" xfId="0" applyFont="1" applyFill="1" applyAlignment="1"/>
    <xf numFmtId="9" fontId="0" fillId="10" borderId="0" xfId="3" applyFont="1" applyFill="1" applyAlignment="1"/>
    <xf numFmtId="0" fontId="0" fillId="9" borderId="0" xfId="0" applyFill="1"/>
    <xf numFmtId="179" fontId="0" fillId="9" borderId="0" xfId="0" applyNumberFormat="1" applyFill="1"/>
    <xf numFmtId="9" fontId="0" fillId="9" borderId="0" xfId="3" applyFont="1" applyFill="1" applyAlignment="1"/>
    <xf numFmtId="9" fontId="0" fillId="9" borderId="0" xfId="0" applyNumberFormat="1" applyFill="1"/>
    <xf numFmtId="0" fontId="3" fillId="9" borderId="0" xfId="0" applyFont="1" applyFill="1"/>
    <xf numFmtId="180" fontId="0" fillId="9" borderId="0" xfId="0" applyNumberFormat="1" applyFill="1"/>
    <xf numFmtId="0" fontId="5" fillId="0" borderId="0" xfId="0" applyFont="1"/>
    <xf numFmtId="0" fontId="3" fillId="9" borderId="0" xfId="0" applyFont="1" applyFill="1" applyAlignment="1">
      <alignment horizontal="center" vertical="center" wrapText="1"/>
    </xf>
    <xf numFmtId="181" fontId="0" fillId="0" borderId="0" xfId="0" applyNumberFormat="1"/>
    <xf numFmtId="180" fontId="0" fillId="0" borderId="0" xfId="0" applyNumberFormat="1"/>
    <xf numFmtId="0" fontId="0" fillId="0" borderId="0" xfId="0" applyFont="1" applyFill="1" applyAlignment="1"/>
    <xf numFmtId="0" fontId="4" fillId="0" borderId="0" xfId="0" applyFont="1"/>
    <xf numFmtId="0" fontId="3" fillId="0" borderId="0" xfId="0" applyFont="1"/>
    <xf numFmtId="0" fontId="0" fillId="4" borderId="0" xfId="0" applyFill="1" applyAlignment="1">
      <alignment horizontal="left" vertical="center"/>
    </xf>
    <xf numFmtId="14" fontId="0" fillId="4" borderId="0" xfId="0" applyNumberFormat="1" applyFill="1" applyAlignment="1">
      <alignment horizontal="left" vertical="center"/>
    </xf>
    <xf numFmtId="0" fontId="0" fillId="0" borderId="0" xfId="0" applyFill="1" applyAlignment="1">
      <alignment horizontal="left" vertical="center"/>
    </xf>
    <xf numFmtId="0" fontId="0" fillId="5" borderId="0" xfId="0" applyFill="1" applyAlignment="1">
      <alignment horizontal="left" vertical="center"/>
    </xf>
    <xf numFmtId="177" fontId="0" fillId="5" borderId="0" xfId="0" applyNumberFormat="1" applyFill="1" applyAlignment="1">
      <alignment horizontal="left" vertical="center"/>
    </xf>
    <xf numFmtId="178" fontId="0" fillId="5" borderId="0" xfId="1" applyNumberFormat="1" applyFont="1" applyFill="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customXml" Target="../customXml/item1.xml"/><Relationship Id="rId7" Type="http://schemas.openxmlformats.org/officeDocument/2006/relationships/connections" Target="connections.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N478"/>
  <sheetViews>
    <sheetView tabSelected="1" zoomScale="85" zoomScaleNormal="85" workbookViewId="0">
      <pane xSplit="1" ySplit="1" topLeftCell="B2" activePane="bottomRight" state="frozen"/>
      <selection/>
      <selection pane="topRight"/>
      <selection pane="bottomLeft"/>
      <selection pane="bottomRight" activeCell="G9" sqref="G9"/>
    </sheetView>
  </sheetViews>
  <sheetFormatPr defaultColWidth="9" defaultRowHeight="14"/>
  <cols>
    <col min="1" max="1" width="13.45" style="37" customWidth="1"/>
    <col min="2" max="2" width="27.1833333333333" style="8" customWidth="1"/>
    <col min="3" max="3" width="9.09166666666667" style="8" customWidth="1"/>
    <col min="4" max="4" width="10.9083333333333" style="8" customWidth="1"/>
    <col min="5" max="5" width="20.5416666666667" style="8" customWidth="1"/>
    <col min="6" max="6" width="11.5416666666667" style="8" customWidth="1"/>
    <col min="7" max="7" width="31.45" style="8" customWidth="1"/>
    <col min="8" max="9" width="12.1833333333333" style="8" customWidth="1"/>
    <col min="10" max="10" width="25" style="8" customWidth="1"/>
    <col min="11" max="11" width="13.725" style="8" customWidth="1"/>
    <col min="12" max="12" width="8" style="8" customWidth="1"/>
    <col min="13" max="13" width="27.8166666666667" style="8" customWidth="1"/>
    <col min="14" max="14" width="15.8166666666667" style="8" customWidth="1"/>
    <col min="15" max="15" width="43.9083333333333" style="8" customWidth="1"/>
    <col min="16" max="16" width="9" customWidth="1"/>
    <col min="17" max="17" width="10.0916666666667" customWidth="1"/>
    <col min="18" max="18" width="9" customWidth="1"/>
  </cols>
  <sheetData>
    <row r="1" s="1" customFormat="1" ht="90" customHeight="1" spans="1:40">
      <c r="A1" s="37" t="s">
        <v>0</v>
      </c>
      <c r="B1" s="4" t="s">
        <v>1</v>
      </c>
      <c r="C1" s="4" t="s">
        <v>2</v>
      </c>
      <c r="D1" s="4" t="s">
        <v>3</v>
      </c>
      <c r="E1" s="4" t="s">
        <v>4</v>
      </c>
      <c r="F1" s="4" t="s">
        <v>5</v>
      </c>
      <c r="G1" s="6" t="s">
        <v>6</v>
      </c>
      <c r="H1" s="6" t="s">
        <v>7</v>
      </c>
      <c r="I1" s="6" t="s">
        <v>8</v>
      </c>
      <c r="J1" s="31" t="s">
        <v>9</v>
      </c>
      <c r="K1" s="4" t="s">
        <v>10</v>
      </c>
      <c r="L1" s="4" t="s">
        <v>11</v>
      </c>
      <c r="M1" s="4" t="s">
        <v>12</v>
      </c>
      <c r="N1" s="6" t="s">
        <v>13</v>
      </c>
      <c r="O1" s="4" t="s">
        <v>14</v>
      </c>
      <c r="P1" s="4" t="s">
        <v>15</v>
      </c>
      <c r="Q1" s="4" t="s">
        <v>16</v>
      </c>
      <c r="R1" s="4" t="s">
        <v>17</v>
      </c>
      <c r="S1" s="4"/>
      <c r="T1" s="4"/>
      <c r="U1" s="4"/>
      <c r="V1" s="4"/>
      <c r="W1" s="4"/>
      <c r="X1" s="4"/>
      <c r="Y1" s="4"/>
      <c r="Z1" s="4"/>
      <c r="AA1" s="4"/>
      <c r="AB1" s="4"/>
      <c r="AC1" s="4"/>
      <c r="AD1" s="4"/>
      <c r="AE1" s="4"/>
      <c r="AF1" s="4"/>
      <c r="AG1" s="4"/>
      <c r="AH1" s="4"/>
      <c r="AI1" s="4"/>
      <c r="AJ1" s="4"/>
      <c r="AK1" s="4"/>
      <c r="AL1" s="4"/>
      <c r="AM1" s="4"/>
      <c r="AN1" s="4"/>
    </row>
    <row r="2" spans="1:40">
      <c r="A2" s="38">
        <v>45533</v>
      </c>
      <c r="B2" s="8" t="s">
        <v>18</v>
      </c>
      <c r="C2" s="8" t="s">
        <v>19</v>
      </c>
      <c r="D2" s="8" t="s">
        <v>20</v>
      </c>
      <c r="E2" s="8" t="s">
        <v>21</v>
      </c>
      <c r="F2" s="10">
        <v>5.13333333333333</v>
      </c>
      <c r="G2" s="8" t="s">
        <v>22</v>
      </c>
      <c r="H2" s="8" t="s">
        <v>23</v>
      </c>
      <c r="I2" s="8" t="s">
        <v>24</v>
      </c>
      <c r="J2" s="8" t="s">
        <v>25</v>
      </c>
      <c r="K2" s="8">
        <v>500</v>
      </c>
      <c r="L2" s="11">
        <v>500</v>
      </c>
      <c r="M2" s="8" t="s">
        <v>26</v>
      </c>
      <c r="N2" s="8" t="s">
        <v>13</v>
      </c>
      <c r="O2" s="8" t="s">
        <v>27</v>
      </c>
      <c r="P2" t="s">
        <v>28</v>
      </c>
      <c r="Q2" t="s">
        <v>20</v>
      </c>
    </row>
    <row r="3" spans="1:40">
      <c r="A3" s="38">
        <v>45413</v>
      </c>
      <c r="B3" s="8" t="s">
        <v>29</v>
      </c>
      <c r="C3" s="8" t="s">
        <v>30</v>
      </c>
      <c r="D3" s="8" t="s">
        <v>31</v>
      </c>
      <c r="E3" s="8" t="s">
        <v>32</v>
      </c>
      <c r="F3" s="10">
        <v>8.7</v>
      </c>
      <c r="G3" s="8" t="s">
        <v>33</v>
      </c>
      <c r="H3" s="8" t="s">
        <v>34</v>
      </c>
      <c r="I3" s="8" t="s">
        <v>35</v>
      </c>
      <c r="J3" s="8" t="s">
        <v>36</v>
      </c>
      <c r="K3" s="8">
        <v>743.88</v>
      </c>
      <c r="L3" s="11">
        <v>743.88</v>
      </c>
      <c r="M3" s="8" t="s">
        <v>37</v>
      </c>
      <c r="N3" s="8" t="s">
        <v>13</v>
      </c>
      <c r="O3" s="8" t="s">
        <v>38</v>
      </c>
      <c r="P3" t="s">
        <v>28</v>
      </c>
      <c r="Q3" t="s">
        <v>39</v>
      </c>
      <c r="R3" t="s">
        <v>28</v>
      </c>
    </row>
    <row r="4" spans="1:40">
      <c r="A4" s="38">
        <v>44897</v>
      </c>
      <c r="B4" s="8" t="s">
        <v>40</v>
      </c>
      <c r="C4" s="8" t="s">
        <v>19</v>
      </c>
      <c r="D4" s="8" t="s">
        <v>20</v>
      </c>
      <c r="E4" s="8" t="s">
        <v>21</v>
      </c>
      <c r="F4" s="13">
        <v>6.41666666666667</v>
      </c>
      <c r="G4" s="8" t="s">
        <v>41</v>
      </c>
      <c r="H4" s="8" t="s">
        <v>42</v>
      </c>
      <c r="I4" s="8" t="s">
        <v>42</v>
      </c>
      <c r="J4" s="8" t="s">
        <v>25</v>
      </c>
      <c r="K4" s="8">
        <v>1900</v>
      </c>
      <c r="L4" s="11">
        <v>1900</v>
      </c>
      <c r="M4" s="8" t="s">
        <v>43</v>
      </c>
      <c r="N4" s="8" t="s">
        <v>13</v>
      </c>
      <c r="O4" s="8" t="s">
        <v>44</v>
      </c>
      <c r="P4" t="s">
        <v>19</v>
      </c>
      <c r="Q4" t="s">
        <v>20</v>
      </c>
      <c r="R4" t="s">
        <v>45</v>
      </c>
    </row>
    <row r="5" spans="1:40">
      <c r="A5" s="38">
        <v>45433</v>
      </c>
      <c r="B5" s="8" t="s">
        <v>46</v>
      </c>
      <c r="C5" s="8" t="s">
        <v>47</v>
      </c>
      <c r="D5" s="8" t="s">
        <v>20</v>
      </c>
      <c r="E5" s="8" t="s">
        <v>21</v>
      </c>
      <c r="F5" s="13">
        <v>5.95833333333333</v>
      </c>
      <c r="G5" s="8" t="s">
        <v>48</v>
      </c>
      <c r="H5" s="8" t="s">
        <v>49</v>
      </c>
      <c r="I5" s="8" t="s">
        <v>49</v>
      </c>
      <c r="J5" s="8" t="s">
        <v>50</v>
      </c>
      <c r="K5" s="8">
        <v>13000</v>
      </c>
      <c r="L5" s="11">
        <v>13000</v>
      </c>
      <c r="M5" s="8" t="s">
        <v>51</v>
      </c>
      <c r="N5" s="8" t="s">
        <v>52</v>
      </c>
      <c r="O5" s="8" t="s">
        <v>53</v>
      </c>
      <c r="P5" t="s">
        <v>30</v>
      </c>
      <c r="Q5" t="s">
        <v>31</v>
      </c>
      <c r="R5" t="s">
        <v>54</v>
      </c>
    </row>
    <row r="6" spans="1:40">
      <c r="A6" s="38">
        <v>45524</v>
      </c>
      <c r="B6" s="8" t="s">
        <v>55</v>
      </c>
      <c r="C6" s="8" t="s">
        <v>56</v>
      </c>
      <c r="D6" s="8" t="s">
        <v>57</v>
      </c>
      <c r="E6" s="8" t="s">
        <v>32</v>
      </c>
      <c r="F6" s="13">
        <v>8.70833333333333</v>
      </c>
      <c r="G6" s="8" t="s">
        <v>58</v>
      </c>
      <c r="H6" s="8" t="s">
        <v>59</v>
      </c>
      <c r="I6" s="8" t="s">
        <v>59</v>
      </c>
      <c r="J6" s="8" t="s">
        <v>25</v>
      </c>
      <c r="K6" s="8">
        <v>6500</v>
      </c>
      <c r="L6" s="11">
        <v>6500</v>
      </c>
      <c r="M6" s="8" t="s">
        <v>43</v>
      </c>
      <c r="N6" s="8" t="s">
        <v>13</v>
      </c>
      <c r="O6" s="8" t="s">
        <v>60</v>
      </c>
      <c r="P6" t="s">
        <v>61</v>
      </c>
      <c r="Q6" t="s">
        <v>57</v>
      </c>
      <c r="R6" t="s">
        <v>62</v>
      </c>
    </row>
    <row r="7" spans="1:40">
      <c r="A7" s="38">
        <v>44896</v>
      </c>
      <c r="B7" s="8" t="s">
        <v>63</v>
      </c>
      <c r="C7" s="8" t="s">
        <v>64</v>
      </c>
      <c r="D7" s="8" t="s">
        <v>20</v>
      </c>
      <c r="E7" s="8" t="s">
        <v>21</v>
      </c>
      <c r="F7" s="10">
        <v>7.05882352941176</v>
      </c>
      <c r="G7" s="8" t="s">
        <v>65</v>
      </c>
      <c r="H7" s="8" t="s">
        <v>23</v>
      </c>
      <c r="I7" s="8" t="s">
        <v>24</v>
      </c>
      <c r="J7" s="8" t="s">
        <v>25</v>
      </c>
      <c r="K7" s="8">
        <v>1098.61</v>
      </c>
      <c r="L7" s="11">
        <v>1098.61</v>
      </c>
      <c r="M7" s="8" t="s">
        <v>66</v>
      </c>
      <c r="N7" s="8" t="s">
        <v>13</v>
      </c>
      <c r="O7" s="8" t="s">
        <v>67</v>
      </c>
      <c r="P7" t="s">
        <v>28</v>
      </c>
      <c r="Q7" t="s">
        <v>68</v>
      </c>
      <c r="R7" t="s">
        <v>28</v>
      </c>
    </row>
    <row r="8" spans="1:40">
      <c r="A8" s="38">
        <v>45078</v>
      </c>
      <c r="B8" s="8" t="s">
        <v>63</v>
      </c>
      <c r="C8" s="8" t="s">
        <v>64</v>
      </c>
      <c r="D8" s="8" t="s">
        <v>20</v>
      </c>
      <c r="E8" s="8" t="s">
        <v>21</v>
      </c>
      <c r="F8" s="13">
        <v>5.5</v>
      </c>
      <c r="G8" s="8" t="s">
        <v>69</v>
      </c>
      <c r="H8" s="8" t="s">
        <v>42</v>
      </c>
      <c r="I8" s="8" t="s">
        <v>42</v>
      </c>
      <c r="J8" s="8" t="s">
        <v>25</v>
      </c>
      <c r="K8" s="8">
        <v>400</v>
      </c>
      <c r="L8" s="11">
        <v>400</v>
      </c>
      <c r="M8" s="8" t="s">
        <v>51</v>
      </c>
      <c r="N8" s="8" t="s">
        <v>13</v>
      </c>
      <c r="O8" s="8" t="s">
        <v>70</v>
      </c>
      <c r="P8" t="s">
        <v>28</v>
      </c>
      <c r="Q8" t="s">
        <v>20</v>
      </c>
      <c r="R8" t="s">
        <v>28</v>
      </c>
    </row>
    <row r="9" spans="1:40">
      <c r="A9" s="38">
        <v>45230</v>
      </c>
      <c r="B9" s="8" t="s">
        <v>71</v>
      </c>
      <c r="C9" s="8" t="s">
        <v>72</v>
      </c>
      <c r="D9" s="8" t="s">
        <v>39</v>
      </c>
      <c r="E9" s="8" t="s">
        <v>21</v>
      </c>
      <c r="F9" s="13">
        <v>6.41666666666667</v>
      </c>
      <c r="G9" s="8" t="s">
        <v>73</v>
      </c>
      <c r="H9" s="8" t="s">
        <v>74</v>
      </c>
      <c r="I9" s="8" t="s">
        <v>74</v>
      </c>
      <c r="J9" s="8" t="s">
        <v>50</v>
      </c>
      <c r="K9" s="8">
        <v>1500</v>
      </c>
      <c r="L9" s="11">
        <v>1500</v>
      </c>
      <c r="M9" s="8" t="s">
        <v>75</v>
      </c>
      <c r="N9" s="8" t="s">
        <v>13</v>
      </c>
      <c r="O9" s="8" t="s">
        <v>76</v>
      </c>
      <c r="P9" t="s">
        <v>28</v>
      </c>
      <c r="Q9" t="s">
        <v>77</v>
      </c>
      <c r="R9" t="s">
        <v>28</v>
      </c>
    </row>
    <row r="10" spans="1:40">
      <c r="A10" s="38">
        <v>45444</v>
      </c>
      <c r="B10" s="8" t="s">
        <v>63</v>
      </c>
      <c r="C10" s="8" t="s">
        <v>64</v>
      </c>
      <c r="D10" s="8" t="s">
        <v>20</v>
      </c>
      <c r="E10" s="8" t="s">
        <v>21</v>
      </c>
      <c r="F10" s="10">
        <v>5.13333333333333</v>
      </c>
      <c r="G10" s="8" t="s">
        <v>78</v>
      </c>
      <c r="H10" s="8" t="s">
        <v>79</v>
      </c>
      <c r="I10" s="8" t="s">
        <v>80</v>
      </c>
      <c r="J10" s="8" t="s">
        <v>81</v>
      </c>
      <c r="K10" s="8">
        <v>752</v>
      </c>
      <c r="L10" s="11">
        <v>752</v>
      </c>
      <c r="M10" s="8" t="s">
        <v>26</v>
      </c>
      <c r="N10" s="8" t="s">
        <v>13</v>
      </c>
      <c r="O10" s="8" t="s">
        <v>82</v>
      </c>
      <c r="P10" t="s">
        <v>83</v>
      </c>
      <c r="Q10" t="s">
        <v>68</v>
      </c>
      <c r="R10" t="s">
        <v>84</v>
      </c>
    </row>
    <row r="11" spans="1:40">
      <c r="A11" s="38">
        <v>45139</v>
      </c>
      <c r="B11" s="8" t="s">
        <v>63</v>
      </c>
      <c r="C11" s="8" t="s">
        <v>64</v>
      </c>
      <c r="D11" s="8" t="s">
        <v>20</v>
      </c>
      <c r="E11" s="8" t="s">
        <v>21</v>
      </c>
      <c r="F11" s="13">
        <v>5.04166666666667</v>
      </c>
      <c r="G11" s="8" t="s">
        <v>85</v>
      </c>
      <c r="H11" s="8" t="s">
        <v>86</v>
      </c>
      <c r="I11" s="8" t="s">
        <v>87</v>
      </c>
      <c r="J11" s="8" t="s">
        <v>88</v>
      </c>
      <c r="K11" s="8">
        <v>1333</v>
      </c>
      <c r="L11" s="11">
        <v>1333</v>
      </c>
      <c r="M11" s="8" t="s">
        <v>43</v>
      </c>
      <c r="N11" s="8" t="s">
        <v>13</v>
      </c>
      <c r="O11" s="8" t="s">
        <v>89</v>
      </c>
      <c r="P11" t="s">
        <v>30</v>
      </c>
      <c r="Q11" t="s">
        <v>31</v>
      </c>
      <c r="R11" t="s">
        <v>54</v>
      </c>
    </row>
    <row r="12" spans="1:40">
      <c r="A12" s="38">
        <v>45261</v>
      </c>
      <c r="B12" s="8" t="s">
        <v>63</v>
      </c>
      <c r="C12" s="8" t="s">
        <v>64</v>
      </c>
      <c r="D12" s="8" t="s">
        <v>20</v>
      </c>
      <c r="E12" s="8" t="s">
        <v>21</v>
      </c>
      <c r="F12" s="10">
        <v>5.19</v>
      </c>
      <c r="G12" s="8" t="s">
        <v>90</v>
      </c>
      <c r="H12" s="8" t="s">
        <v>91</v>
      </c>
      <c r="I12" s="8" t="s">
        <v>92</v>
      </c>
      <c r="J12" s="8" t="s">
        <v>93</v>
      </c>
      <c r="K12" s="8">
        <v>339.14</v>
      </c>
      <c r="L12" s="11">
        <v>339.14</v>
      </c>
      <c r="M12" s="8" t="s">
        <v>66</v>
      </c>
      <c r="N12" s="8" t="s">
        <v>52</v>
      </c>
      <c r="O12" s="8" t="s">
        <v>94</v>
      </c>
      <c r="P12" t="s">
        <v>95</v>
      </c>
      <c r="Q12" t="s">
        <v>20</v>
      </c>
      <c r="R12" t="s">
        <v>96</v>
      </c>
    </row>
    <row r="13" spans="1:40">
      <c r="A13" s="38">
        <v>44621</v>
      </c>
      <c r="B13" s="8" t="s">
        <v>63</v>
      </c>
      <c r="C13" s="8" t="s">
        <v>64</v>
      </c>
      <c r="D13" s="8" t="s">
        <v>20</v>
      </c>
      <c r="E13" s="8" t="s">
        <v>21</v>
      </c>
      <c r="F13" s="13">
        <v>5.72916666666667</v>
      </c>
      <c r="G13" s="8" t="s">
        <v>97</v>
      </c>
      <c r="H13" s="8" t="s">
        <v>98</v>
      </c>
      <c r="I13" s="8" t="s">
        <v>99</v>
      </c>
      <c r="J13" s="8" t="s">
        <v>100</v>
      </c>
      <c r="K13" s="8">
        <v>2470</v>
      </c>
      <c r="L13" s="11">
        <v>2470</v>
      </c>
      <c r="M13" s="8" t="s">
        <v>66</v>
      </c>
      <c r="N13" s="8" t="s">
        <v>52</v>
      </c>
      <c r="O13" s="8" t="s">
        <v>101</v>
      </c>
      <c r="P13" t="s">
        <v>95</v>
      </c>
      <c r="Q13" t="s">
        <v>20</v>
      </c>
      <c r="R13" t="s">
        <v>96</v>
      </c>
    </row>
    <row r="14" spans="1:40">
      <c r="A14" s="38">
        <v>45261</v>
      </c>
      <c r="B14" s="8" t="s">
        <v>63</v>
      </c>
      <c r="C14" s="8" t="s">
        <v>64</v>
      </c>
      <c r="D14" s="8" t="s">
        <v>20</v>
      </c>
      <c r="E14" s="8" t="s">
        <v>21</v>
      </c>
      <c r="F14" s="10">
        <v>5.06</v>
      </c>
      <c r="G14" s="8" t="s">
        <v>102</v>
      </c>
      <c r="H14" s="8" t="s">
        <v>103</v>
      </c>
      <c r="I14" s="8" t="s">
        <v>104</v>
      </c>
      <c r="J14" s="8" t="s">
        <v>105</v>
      </c>
      <c r="K14" s="8">
        <v>453.43</v>
      </c>
      <c r="L14" s="11">
        <v>453.43</v>
      </c>
      <c r="M14" s="8" t="s">
        <v>66</v>
      </c>
      <c r="N14" s="8" t="s">
        <v>13</v>
      </c>
      <c r="O14" s="8" t="s">
        <v>106</v>
      </c>
      <c r="P14" t="s">
        <v>107</v>
      </c>
      <c r="Q14" t="s">
        <v>20</v>
      </c>
      <c r="R14" t="s">
        <v>62</v>
      </c>
    </row>
    <row r="15" spans="1:40">
      <c r="A15" s="38">
        <v>45352.5699884259</v>
      </c>
      <c r="B15" s="8" t="s">
        <v>63</v>
      </c>
      <c r="C15" s="8" t="s">
        <v>64</v>
      </c>
      <c r="D15" s="8" t="s">
        <v>20</v>
      </c>
      <c r="E15" s="8" t="s">
        <v>21</v>
      </c>
      <c r="F15" s="10">
        <v>5.24444444444444</v>
      </c>
      <c r="G15" s="8" t="s">
        <v>108</v>
      </c>
      <c r="H15" s="8" t="s">
        <v>109</v>
      </c>
      <c r="I15" s="8" t="s">
        <v>87</v>
      </c>
      <c r="J15" s="8" t="s">
        <v>88</v>
      </c>
      <c r="K15" s="8">
        <v>444.44</v>
      </c>
      <c r="L15" s="11">
        <v>444.44</v>
      </c>
      <c r="M15" s="8" t="s">
        <v>66</v>
      </c>
      <c r="N15" s="8" t="s">
        <v>13</v>
      </c>
      <c r="O15" s="8" t="s">
        <v>110</v>
      </c>
      <c r="P15" t="s">
        <v>28</v>
      </c>
      <c r="Q15" t="s">
        <v>111</v>
      </c>
      <c r="R15" t="s">
        <v>28</v>
      </c>
    </row>
    <row r="16" spans="1:40">
      <c r="A16" s="38">
        <v>45323</v>
      </c>
      <c r="B16" s="8" t="s">
        <v>63</v>
      </c>
      <c r="C16" s="8" t="s">
        <v>64</v>
      </c>
      <c r="D16" s="8" t="s">
        <v>20</v>
      </c>
      <c r="E16" s="8" t="s">
        <v>21</v>
      </c>
      <c r="F16" s="10">
        <v>5.63888888888889</v>
      </c>
      <c r="G16" s="8" t="s">
        <v>112</v>
      </c>
      <c r="H16" s="8" t="s">
        <v>109</v>
      </c>
      <c r="I16" s="8" t="s">
        <v>87</v>
      </c>
      <c r="J16" s="8" t="s">
        <v>88</v>
      </c>
      <c r="K16" s="8">
        <v>430</v>
      </c>
      <c r="L16" s="11">
        <v>430</v>
      </c>
      <c r="M16" s="8" t="s">
        <v>51</v>
      </c>
      <c r="N16" s="8" t="s">
        <v>13</v>
      </c>
      <c r="O16" s="8" t="s">
        <v>113</v>
      </c>
      <c r="P16" t="s">
        <v>28</v>
      </c>
      <c r="Q16" t="s">
        <v>111</v>
      </c>
      <c r="R16" t="s">
        <v>28</v>
      </c>
    </row>
    <row r="17" spans="1:18">
      <c r="A17" s="38">
        <v>45078</v>
      </c>
      <c r="B17" s="8" t="s">
        <v>114</v>
      </c>
      <c r="C17" s="8" t="s">
        <v>95</v>
      </c>
      <c r="D17" s="8" t="s">
        <v>20</v>
      </c>
      <c r="E17" s="8" t="s">
        <v>32</v>
      </c>
      <c r="F17" s="13">
        <v>6.14166666666667</v>
      </c>
      <c r="G17" s="8" t="s">
        <v>115</v>
      </c>
      <c r="H17" s="8" t="s">
        <v>116</v>
      </c>
      <c r="I17" s="8" t="s">
        <v>116</v>
      </c>
      <c r="J17" s="8" t="s">
        <v>50</v>
      </c>
      <c r="K17" s="8">
        <v>1975</v>
      </c>
      <c r="L17" s="11">
        <v>1975</v>
      </c>
      <c r="M17" s="8" t="s">
        <v>43</v>
      </c>
      <c r="N17" s="8" t="s">
        <v>13</v>
      </c>
      <c r="O17" s="8" t="s">
        <v>117</v>
      </c>
      <c r="P17" t="s">
        <v>95</v>
      </c>
      <c r="Q17" t="s">
        <v>20</v>
      </c>
      <c r="R17" t="s">
        <v>96</v>
      </c>
    </row>
    <row r="18" spans="1:18">
      <c r="A18" s="38">
        <v>45455</v>
      </c>
      <c r="B18" s="8" t="s">
        <v>63</v>
      </c>
      <c r="C18" s="8" t="s">
        <v>64</v>
      </c>
      <c r="D18" s="8" t="s">
        <v>20</v>
      </c>
      <c r="E18" s="8" t="s">
        <v>21</v>
      </c>
      <c r="F18" s="13">
        <v>4.85833333333333</v>
      </c>
      <c r="G18" s="8" t="s">
        <v>118</v>
      </c>
      <c r="H18" s="8" t="s">
        <v>91</v>
      </c>
      <c r="I18" s="8" t="s">
        <v>92</v>
      </c>
      <c r="J18" s="8" t="s">
        <v>93</v>
      </c>
      <c r="K18" s="8">
        <v>1300</v>
      </c>
      <c r="L18" s="11">
        <v>1300</v>
      </c>
      <c r="M18" s="8" t="s">
        <v>26</v>
      </c>
      <c r="N18" s="8" t="s">
        <v>13</v>
      </c>
      <c r="O18" s="8" t="s">
        <v>119</v>
      </c>
      <c r="P18" t="s">
        <v>28</v>
      </c>
      <c r="Q18" t="s">
        <v>120</v>
      </c>
      <c r="R18" t="s">
        <v>28</v>
      </c>
    </row>
    <row r="19" spans="1:18">
      <c r="A19" s="38">
        <v>44580</v>
      </c>
      <c r="B19" s="8" t="s">
        <v>121</v>
      </c>
      <c r="C19" s="8" t="s">
        <v>122</v>
      </c>
      <c r="D19" s="8" t="s">
        <v>123</v>
      </c>
      <c r="E19" s="8" t="s">
        <v>32</v>
      </c>
      <c r="F19" s="13">
        <v>7.79166666666667</v>
      </c>
      <c r="G19" s="8" t="s">
        <v>124</v>
      </c>
      <c r="H19" s="8" t="s">
        <v>125</v>
      </c>
      <c r="I19" s="8" t="s">
        <v>126</v>
      </c>
      <c r="J19" s="8" t="s">
        <v>127</v>
      </c>
      <c r="K19" s="8">
        <v>300</v>
      </c>
      <c r="L19" s="11">
        <v>300</v>
      </c>
      <c r="M19" s="8" t="s">
        <v>51</v>
      </c>
      <c r="N19" s="8" t="s">
        <v>13</v>
      </c>
      <c r="O19" s="8" t="s">
        <v>128</v>
      </c>
      <c r="P19" t="s">
        <v>28</v>
      </c>
      <c r="Q19" t="s">
        <v>68</v>
      </c>
      <c r="R19" t="s">
        <v>28</v>
      </c>
    </row>
    <row r="20" spans="1:18">
      <c r="A20" s="38">
        <v>45300</v>
      </c>
      <c r="B20" s="8" t="s">
        <v>129</v>
      </c>
      <c r="C20" s="8" t="s">
        <v>19</v>
      </c>
      <c r="D20" s="8" t="s">
        <v>20</v>
      </c>
      <c r="E20" s="8" t="s">
        <v>21</v>
      </c>
      <c r="F20" s="13">
        <v>6.875</v>
      </c>
      <c r="G20" s="8" t="s">
        <v>130</v>
      </c>
      <c r="H20" s="8" t="s">
        <v>23</v>
      </c>
      <c r="I20" s="8" t="s">
        <v>24</v>
      </c>
      <c r="J20" s="8" t="s">
        <v>25</v>
      </c>
      <c r="K20" s="8">
        <v>500</v>
      </c>
      <c r="L20" s="11">
        <v>500</v>
      </c>
      <c r="M20" s="8" t="s">
        <v>43</v>
      </c>
      <c r="N20" s="8" t="s">
        <v>13</v>
      </c>
      <c r="O20" s="8" t="s">
        <v>131</v>
      </c>
      <c r="P20" t="s">
        <v>28</v>
      </c>
      <c r="Q20" t="s">
        <v>20</v>
      </c>
      <c r="R20" t="s">
        <v>28</v>
      </c>
    </row>
    <row r="21" spans="1:18">
      <c r="A21" s="38">
        <v>45289</v>
      </c>
      <c r="B21" s="39" t="s">
        <v>132</v>
      </c>
      <c r="C21" s="8" t="s">
        <v>133</v>
      </c>
      <c r="D21" s="8" t="s">
        <v>134</v>
      </c>
      <c r="E21" s="8" t="s">
        <v>21</v>
      </c>
      <c r="F21" s="13">
        <v>5.04166666666667</v>
      </c>
      <c r="G21" s="8" t="s">
        <v>135</v>
      </c>
      <c r="H21" s="8" t="s">
        <v>136</v>
      </c>
      <c r="I21" s="8" t="s">
        <v>137</v>
      </c>
      <c r="J21" s="8" t="s">
        <v>25</v>
      </c>
      <c r="K21" s="8">
        <v>2015</v>
      </c>
      <c r="L21" s="11">
        <v>2015</v>
      </c>
      <c r="M21" s="8" t="s">
        <v>66</v>
      </c>
      <c r="N21" s="8" t="s">
        <v>52</v>
      </c>
      <c r="O21" s="8" t="s">
        <v>138</v>
      </c>
      <c r="P21" t="s">
        <v>19</v>
      </c>
      <c r="Q21" t="s">
        <v>20</v>
      </c>
      <c r="R21" t="s">
        <v>45</v>
      </c>
    </row>
    <row r="22" spans="1:18">
      <c r="A22" s="38">
        <v>45443</v>
      </c>
      <c r="B22" s="8" t="s">
        <v>139</v>
      </c>
      <c r="C22" s="8" t="s">
        <v>140</v>
      </c>
      <c r="D22" s="8" t="s">
        <v>20</v>
      </c>
      <c r="E22" s="8" t="s">
        <v>32</v>
      </c>
      <c r="F22" s="10">
        <v>4.9</v>
      </c>
      <c r="G22" s="8" t="s">
        <v>141</v>
      </c>
      <c r="H22" s="8" t="s">
        <v>142</v>
      </c>
      <c r="I22" s="8" t="s">
        <v>142</v>
      </c>
      <c r="J22" s="8" t="s">
        <v>25</v>
      </c>
      <c r="K22" s="8">
        <v>3700</v>
      </c>
      <c r="L22" s="11">
        <v>3700</v>
      </c>
      <c r="M22" s="8" t="s">
        <v>26</v>
      </c>
      <c r="N22" s="8" t="s">
        <v>52</v>
      </c>
      <c r="O22" s="8" t="s">
        <v>143</v>
      </c>
      <c r="P22" t="s">
        <v>140</v>
      </c>
      <c r="Q22" t="s">
        <v>20</v>
      </c>
      <c r="R22" t="s">
        <v>54</v>
      </c>
    </row>
    <row r="23" spans="1:18">
      <c r="A23" s="38">
        <v>44743</v>
      </c>
      <c r="B23" s="8" t="s">
        <v>139</v>
      </c>
      <c r="C23" s="8" t="s">
        <v>140</v>
      </c>
      <c r="D23" s="8" t="s">
        <v>20</v>
      </c>
      <c r="E23" s="8" t="s">
        <v>32</v>
      </c>
      <c r="F23" s="10">
        <v>14.1666666666667</v>
      </c>
      <c r="G23" s="8" t="s">
        <v>144</v>
      </c>
      <c r="H23" s="8" t="s">
        <v>42</v>
      </c>
      <c r="I23" s="8" t="s">
        <v>42</v>
      </c>
      <c r="J23" s="8" t="s">
        <v>25</v>
      </c>
      <c r="K23" s="8">
        <v>500</v>
      </c>
      <c r="L23" s="11">
        <v>500</v>
      </c>
      <c r="M23" s="8" t="s">
        <v>43</v>
      </c>
      <c r="N23" s="8" t="s">
        <v>52</v>
      </c>
      <c r="O23" s="8" t="s">
        <v>145</v>
      </c>
      <c r="P23" t="s">
        <v>140</v>
      </c>
      <c r="Q23" t="s">
        <v>20</v>
      </c>
      <c r="R23" t="s">
        <v>54</v>
      </c>
    </row>
    <row r="24" spans="1:18">
      <c r="A24" s="38">
        <v>44772</v>
      </c>
      <c r="B24" s="8" t="s">
        <v>139</v>
      </c>
      <c r="C24" s="8" t="s">
        <v>140</v>
      </c>
      <c r="D24" s="8" t="s">
        <v>20</v>
      </c>
      <c r="E24" s="8" t="s">
        <v>32</v>
      </c>
      <c r="F24" s="13">
        <v>9.625</v>
      </c>
      <c r="G24" s="8" t="s">
        <v>146</v>
      </c>
      <c r="H24" s="8" t="s">
        <v>142</v>
      </c>
      <c r="I24" s="8" t="s">
        <v>142</v>
      </c>
      <c r="J24" s="8" t="s">
        <v>25</v>
      </c>
      <c r="K24" s="8">
        <v>1100</v>
      </c>
      <c r="L24" s="11">
        <v>1100</v>
      </c>
      <c r="M24" s="8" t="s">
        <v>66</v>
      </c>
      <c r="N24" s="8" t="s">
        <v>13</v>
      </c>
      <c r="O24" s="8" t="s">
        <v>147</v>
      </c>
      <c r="P24" t="s">
        <v>148</v>
      </c>
      <c r="Q24" t="s">
        <v>57</v>
      </c>
      <c r="R24" t="s">
        <v>96</v>
      </c>
    </row>
    <row r="25" spans="1:18">
      <c r="A25" s="38">
        <v>45447</v>
      </c>
      <c r="B25" s="8" t="s">
        <v>149</v>
      </c>
      <c r="C25" s="8" t="s">
        <v>150</v>
      </c>
      <c r="D25" s="8" t="s">
        <v>151</v>
      </c>
      <c r="E25" s="8" t="s">
        <v>21</v>
      </c>
      <c r="F25" s="13">
        <v>5.5</v>
      </c>
      <c r="G25" s="8" t="s">
        <v>152</v>
      </c>
      <c r="H25" s="8" t="s">
        <v>49</v>
      </c>
      <c r="I25" s="8" t="s">
        <v>49</v>
      </c>
      <c r="J25" s="8" t="s">
        <v>50</v>
      </c>
      <c r="K25" s="8">
        <v>2200</v>
      </c>
      <c r="L25" s="11">
        <v>2200</v>
      </c>
      <c r="M25" s="8" t="s">
        <v>51</v>
      </c>
      <c r="N25" s="8" t="s">
        <v>13</v>
      </c>
      <c r="O25" s="8" t="s">
        <v>153</v>
      </c>
      <c r="P25" t="s">
        <v>28</v>
      </c>
      <c r="Q25" t="s">
        <v>111</v>
      </c>
      <c r="R25" t="s">
        <v>28</v>
      </c>
    </row>
    <row r="26" spans="1:18">
      <c r="A26" s="38">
        <v>45321</v>
      </c>
      <c r="B26" s="8" t="s">
        <v>139</v>
      </c>
      <c r="C26" s="8" t="s">
        <v>140</v>
      </c>
      <c r="D26" s="8" t="s">
        <v>20</v>
      </c>
      <c r="E26" s="8" t="s">
        <v>32</v>
      </c>
      <c r="F26" s="13">
        <v>6.875</v>
      </c>
      <c r="G26" s="8" t="s">
        <v>154</v>
      </c>
      <c r="H26" s="8" t="s">
        <v>155</v>
      </c>
      <c r="I26" s="8" t="s">
        <v>156</v>
      </c>
      <c r="J26" s="8" t="s">
        <v>36</v>
      </c>
      <c r="K26" s="8">
        <v>373</v>
      </c>
      <c r="L26" s="11">
        <v>373</v>
      </c>
      <c r="M26" s="8" t="s">
        <v>51</v>
      </c>
      <c r="N26" s="8" t="s">
        <v>13</v>
      </c>
      <c r="O26" s="8" t="s">
        <v>157</v>
      </c>
      <c r="P26" t="s">
        <v>30</v>
      </c>
      <c r="Q26" t="s">
        <v>31</v>
      </c>
      <c r="R26" t="s">
        <v>54</v>
      </c>
    </row>
    <row r="27" spans="1:18">
      <c r="A27" s="38">
        <v>45429</v>
      </c>
      <c r="B27" s="8" t="s">
        <v>139</v>
      </c>
      <c r="C27" s="8" t="s">
        <v>140</v>
      </c>
      <c r="D27" s="8" t="s">
        <v>20</v>
      </c>
      <c r="E27" s="8" t="s">
        <v>32</v>
      </c>
      <c r="F27" s="13">
        <v>11.4583333333333</v>
      </c>
      <c r="G27" s="8" t="s">
        <v>158</v>
      </c>
      <c r="H27" s="8" t="s">
        <v>159</v>
      </c>
      <c r="I27" s="8" t="s">
        <v>160</v>
      </c>
      <c r="J27" s="8" t="s">
        <v>161</v>
      </c>
      <c r="K27" s="8">
        <v>2683</v>
      </c>
      <c r="L27" s="11">
        <v>2683</v>
      </c>
      <c r="M27" s="8" t="s">
        <v>51</v>
      </c>
      <c r="N27" s="8" t="s">
        <v>13</v>
      </c>
      <c r="O27" s="8" t="s">
        <v>162</v>
      </c>
      <c r="P27" t="s">
        <v>28</v>
      </c>
      <c r="Q27" t="s">
        <v>111</v>
      </c>
      <c r="R27" t="s">
        <v>28</v>
      </c>
    </row>
    <row r="28" spans="1:18">
      <c r="A28" s="38">
        <v>45429</v>
      </c>
      <c r="B28" s="8" t="s">
        <v>163</v>
      </c>
      <c r="C28" s="8" t="s">
        <v>140</v>
      </c>
      <c r="D28" s="8" t="s">
        <v>20</v>
      </c>
      <c r="E28" s="8" t="s">
        <v>32</v>
      </c>
      <c r="F28" s="13">
        <v>6.41666666666667</v>
      </c>
      <c r="G28" s="8" t="s">
        <v>164</v>
      </c>
      <c r="H28" s="8" t="s">
        <v>165</v>
      </c>
      <c r="I28" s="8" t="s">
        <v>165</v>
      </c>
      <c r="J28" s="8" t="s">
        <v>50</v>
      </c>
      <c r="K28" s="8">
        <v>2706</v>
      </c>
      <c r="L28" s="11">
        <v>2706</v>
      </c>
      <c r="M28" s="8" t="s">
        <v>26</v>
      </c>
      <c r="N28" s="8" t="s">
        <v>13</v>
      </c>
      <c r="O28" s="8" t="s">
        <v>166</v>
      </c>
      <c r="P28" t="s">
        <v>167</v>
      </c>
      <c r="Q28" t="s">
        <v>134</v>
      </c>
      <c r="R28" t="s">
        <v>84</v>
      </c>
    </row>
    <row r="29" spans="1:18">
      <c r="A29" s="38">
        <v>44986</v>
      </c>
      <c r="B29" s="8" t="s">
        <v>168</v>
      </c>
      <c r="C29" s="8" t="s">
        <v>169</v>
      </c>
      <c r="D29" s="8" t="s">
        <v>111</v>
      </c>
      <c r="E29" s="8" t="s">
        <v>21</v>
      </c>
      <c r="F29" s="13">
        <v>3.85</v>
      </c>
      <c r="G29" s="8" t="s">
        <v>170</v>
      </c>
      <c r="H29" s="8" t="s">
        <v>171</v>
      </c>
      <c r="I29" s="8" t="s">
        <v>171</v>
      </c>
      <c r="J29" s="8" t="s">
        <v>50</v>
      </c>
      <c r="K29" s="8">
        <v>1500</v>
      </c>
      <c r="L29" s="11">
        <v>1500</v>
      </c>
      <c r="M29" s="8" t="s">
        <v>26</v>
      </c>
      <c r="N29" s="8" t="s">
        <v>13</v>
      </c>
      <c r="O29" s="8" t="s">
        <v>172</v>
      </c>
      <c r="P29" t="s">
        <v>28</v>
      </c>
      <c r="Q29" t="s">
        <v>31</v>
      </c>
      <c r="R29" t="s">
        <v>28</v>
      </c>
    </row>
    <row r="30" spans="1:18">
      <c r="A30" s="38">
        <v>45377</v>
      </c>
      <c r="B30" s="8" t="s">
        <v>173</v>
      </c>
      <c r="C30" s="8" t="s">
        <v>122</v>
      </c>
      <c r="D30" s="8" t="s">
        <v>123</v>
      </c>
      <c r="E30" s="8" t="s">
        <v>32</v>
      </c>
      <c r="F30" s="13">
        <v>6.41666666666667</v>
      </c>
      <c r="G30" s="8" t="s">
        <v>174</v>
      </c>
      <c r="H30" s="8" t="s">
        <v>175</v>
      </c>
      <c r="I30" s="8" t="s">
        <v>176</v>
      </c>
      <c r="J30" s="8" t="s">
        <v>100</v>
      </c>
      <c r="K30" s="8">
        <v>2080</v>
      </c>
      <c r="L30" s="11">
        <v>2080</v>
      </c>
      <c r="M30" s="8" t="s">
        <v>177</v>
      </c>
      <c r="N30" s="8" t="s">
        <v>13</v>
      </c>
      <c r="O30" s="8" t="s">
        <v>178</v>
      </c>
      <c r="P30" t="s">
        <v>179</v>
      </c>
      <c r="Q30" t="s">
        <v>68</v>
      </c>
      <c r="R30" t="s">
        <v>96</v>
      </c>
    </row>
    <row r="31" spans="1:18">
      <c r="A31" s="38">
        <v>45474</v>
      </c>
      <c r="B31" s="8" t="s">
        <v>180</v>
      </c>
      <c r="C31" s="8" t="s">
        <v>30</v>
      </c>
      <c r="D31" s="8" t="s">
        <v>31</v>
      </c>
      <c r="E31" s="8" t="s">
        <v>32</v>
      </c>
      <c r="F31" s="10">
        <v>4.58333333333333</v>
      </c>
      <c r="G31" s="8" t="s">
        <v>181</v>
      </c>
      <c r="H31" s="8" t="s">
        <v>182</v>
      </c>
      <c r="I31" s="8" t="s">
        <v>182</v>
      </c>
      <c r="J31" s="8" t="s">
        <v>25</v>
      </c>
      <c r="K31" s="8">
        <v>4501.28</v>
      </c>
      <c r="L31" s="11">
        <v>4501.28</v>
      </c>
      <c r="M31" s="8" t="s">
        <v>37</v>
      </c>
      <c r="N31" s="8" t="s">
        <v>13</v>
      </c>
      <c r="O31" s="8" t="s">
        <v>183</v>
      </c>
      <c r="P31" t="s">
        <v>179</v>
      </c>
      <c r="Q31" t="s">
        <v>68</v>
      </c>
      <c r="R31" t="s">
        <v>96</v>
      </c>
    </row>
    <row r="32" spans="1:18">
      <c r="A32" s="38">
        <v>45261</v>
      </c>
      <c r="B32" s="8" t="s">
        <v>180</v>
      </c>
      <c r="C32" s="8" t="s">
        <v>30</v>
      </c>
      <c r="D32" s="8" t="s">
        <v>31</v>
      </c>
      <c r="E32" s="8" t="s">
        <v>32</v>
      </c>
      <c r="F32" s="10">
        <v>6.7</v>
      </c>
      <c r="G32" s="8" t="s">
        <v>184</v>
      </c>
      <c r="H32" s="8" t="s">
        <v>185</v>
      </c>
      <c r="I32" s="8" t="s">
        <v>185</v>
      </c>
      <c r="J32" s="8" t="s">
        <v>25</v>
      </c>
      <c r="K32" s="8">
        <v>4672.6</v>
      </c>
      <c r="L32" s="11">
        <v>4672.6</v>
      </c>
      <c r="M32" s="8" t="s">
        <v>66</v>
      </c>
      <c r="N32" s="8" t="s">
        <v>13</v>
      </c>
      <c r="O32" s="8" t="s">
        <v>186</v>
      </c>
      <c r="P32" t="s">
        <v>28</v>
      </c>
      <c r="Q32" t="s">
        <v>31</v>
      </c>
      <c r="R32" t="s">
        <v>28</v>
      </c>
    </row>
    <row r="33" spans="1:18">
      <c r="A33" s="38">
        <v>45474</v>
      </c>
      <c r="B33" s="8" t="s">
        <v>180</v>
      </c>
      <c r="C33" s="8" t="s">
        <v>30</v>
      </c>
      <c r="D33" s="8" t="s">
        <v>31</v>
      </c>
      <c r="E33" s="8" t="s">
        <v>32</v>
      </c>
      <c r="F33" s="10">
        <v>4.58333333333333</v>
      </c>
      <c r="G33" s="8" t="s">
        <v>181</v>
      </c>
      <c r="H33" s="8" t="s">
        <v>182</v>
      </c>
      <c r="I33" s="8" t="s">
        <v>182</v>
      </c>
      <c r="J33" s="8" t="s">
        <v>25</v>
      </c>
      <c r="K33" s="8">
        <v>4501.28</v>
      </c>
      <c r="L33" s="11">
        <v>4501.28</v>
      </c>
      <c r="M33" s="8" t="s">
        <v>37</v>
      </c>
      <c r="N33" s="8" t="s">
        <v>13</v>
      </c>
      <c r="O33" s="8" t="s">
        <v>187</v>
      </c>
      <c r="P33" t="s">
        <v>28</v>
      </c>
      <c r="Q33" t="s">
        <v>188</v>
      </c>
      <c r="R33" t="s">
        <v>28</v>
      </c>
    </row>
    <row r="34" spans="1:18">
      <c r="A34" s="38">
        <v>45474</v>
      </c>
      <c r="B34" s="8" t="s">
        <v>180</v>
      </c>
      <c r="C34" s="8" t="s">
        <v>30</v>
      </c>
      <c r="D34" s="8" t="s">
        <v>31</v>
      </c>
      <c r="E34" s="8" t="s">
        <v>32</v>
      </c>
      <c r="F34" s="10">
        <v>4.58333333333333</v>
      </c>
      <c r="G34" s="8" t="s">
        <v>189</v>
      </c>
      <c r="H34" s="8" t="s">
        <v>182</v>
      </c>
      <c r="I34" s="8" t="s">
        <v>182</v>
      </c>
      <c r="J34" s="8" t="s">
        <v>25</v>
      </c>
      <c r="K34" s="8">
        <v>13503.84</v>
      </c>
      <c r="L34" s="11">
        <v>13503.84</v>
      </c>
      <c r="M34" s="8" t="s">
        <v>37</v>
      </c>
      <c r="N34" s="8" t="s">
        <v>52</v>
      </c>
      <c r="O34" s="8" t="s">
        <v>190</v>
      </c>
      <c r="P34" t="s">
        <v>28</v>
      </c>
      <c r="Q34" t="s">
        <v>188</v>
      </c>
      <c r="R34" t="s">
        <v>28</v>
      </c>
    </row>
    <row r="35" spans="1:18">
      <c r="A35" s="38">
        <v>45474</v>
      </c>
      <c r="B35" s="8" t="s">
        <v>180</v>
      </c>
      <c r="C35" s="8" t="s">
        <v>30</v>
      </c>
      <c r="D35" s="8" t="s">
        <v>31</v>
      </c>
      <c r="E35" s="8" t="s">
        <v>32</v>
      </c>
      <c r="F35" s="10">
        <v>4.58333333333333</v>
      </c>
      <c r="G35" s="8" t="s">
        <v>181</v>
      </c>
      <c r="H35" s="8" t="s">
        <v>182</v>
      </c>
      <c r="I35" s="8" t="s">
        <v>182</v>
      </c>
      <c r="J35" s="8" t="s">
        <v>25</v>
      </c>
      <c r="K35" s="8">
        <v>4501.28</v>
      </c>
      <c r="L35" s="11">
        <v>4501.28</v>
      </c>
      <c r="M35" s="8" t="s">
        <v>37</v>
      </c>
      <c r="N35" s="8" t="s">
        <v>52</v>
      </c>
      <c r="O35" s="8" t="s">
        <v>191</v>
      </c>
      <c r="P35" t="s">
        <v>192</v>
      </c>
      <c r="Q35" t="s">
        <v>57</v>
      </c>
      <c r="R35" t="s">
        <v>96</v>
      </c>
    </row>
    <row r="36" spans="1:18">
      <c r="A36" s="38">
        <v>45139</v>
      </c>
      <c r="B36" s="8" t="s">
        <v>180</v>
      </c>
      <c r="C36" s="8" t="s">
        <v>30</v>
      </c>
      <c r="D36" s="8" t="s">
        <v>31</v>
      </c>
      <c r="E36" s="8" t="s">
        <v>32</v>
      </c>
      <c r="F36" s="10">
        <v>6.94166666666667</v>
      </c>
      <c r="G36" s="8" t="s">
        <v>193</v>
      </c>
      <c r="H36" s="8" t="s">
        <v>103</v>
      </c>
      <c r="I36" s="8" t="s">
        <v>104</v>
      </c>
      <c r="J36" s="8" t="s">
        <v>105</v>
      </c>
      <c r="K36" s="8">
        <v>536.51</v>
      </c>
      <c r="L36" s="11">
        <v>536.51</v>
      </c>
      <c r="M36" s="8" t="s">
        <v>66</v>
      </c>
      <c r="N36" s="8" t="s">
        <v>13</v>
      </c>
      <c r="O36" s="8" t="s">
        <v>194</v>
      </c>
      <c r="P36" t="s">
        <v>28</v>
      </c>
      <c r="Q36" t="s">
        <v>31</v>
      </c>
      <c r="R36" t="s">
        <v>28</v>
      </c>
    </row>
    <row r="37" spans="1:18">
      <c r="A37" s="38">
        <v>45292</v>
      </c>
      <c r="B37" s="8" t="s">
        <v>180</v>
      </c>
      <c r="C37" s="8" t="s">
        <v>30</v>
      </c>
      <c r="D37" s="8" t="s">
        <v>31</v>
      </c>
      <c r="E37" s="8" t="s">
        <v>32</v>
      </c>
      <c r="F37" s="13">
        <v>5.5</v>
      </c>
      <c r="G37" s="8" t="s">
        <v>195</v>
      </c>
      <c r="H37" s="8" t="s">
        <v>196</v>
      </c>
      <c r="I37" s="8" t="s">
        <v>99</v>
      </c>
      <c r="J37" s="8" t="s">
        <v>100</v>
      </c>
      <c r="K37" s="8">
        <v>2000</v>
      </c>
      <c r="L37" s="11">
        <v>2000</v>
      </c>
      <c r="M37" s="8" t="s">
        <v>66</v>
      </c>
      <c r="N37" s="8" t="s">
        <v>13</v>
      </c>
      <c r="O37" s="8" t="s">
        <v>197</v>
      </c>
      <c r="P37" t="s">
        <v>30</v>
      </c>
      <c r="Q37" t="s">
        <v>31</v>
      </c>
      <c r="R37" t="s">
        <v>54</v>
      </c>
    </row>
    <row r="38" spans="1:18">
      <c r="A38" s="38">
        <v>45139</v>
      </c>
      <c r="B38" s="8" t="s">
        <v>180</v>
      </c>
      <c r="C38" s="8" t="s">
        <v>30</v>
      </c>
      <c r="D38" s="8" t="s">
        <v>31</v>
      </c>
      <c r="E38" s="8" t="s">
        <v>32</v>
      </c>
      <c r="F38" s="13">
        <v>6.41666666666667</v>
      </c>
      <c r="G38" s="8" t="s">
        <v>198</v>
      </c>
      <c r="H38" s="8" t="s">
        <v>199</v>
      </c>
      <c r="I38" s="8" t="s">
        <v>200</v>
      </c>
      <c r="J38" s="8" t="s">
        <v>201</v>
      </c>
      <c r="K38" s="8">
        <v>4500</v>
      </c>
      <c r="L38" s="11">
        <v>4500</v>
      </c>
      <c r="M38" s="8" t="s">
        <v>51</v>
      </c>
      <c r="N38" s="8" t="s">
        <v>13</v>
      </c>
      <c r="O38" s="8" t="s">
        <v>202</v>
      </c>
      <c r="P38" t="s">
        <v>179</v>
      </c>
      <c r="Q38" t="s">
        <v>68</v>
      </c>
      <c r="R38" t="s">
        <v>96</v>
      </c>
    </row>
    <row r="39" spans="1:18">
      <c r="A39" s="38">
        <v>45261</v>
      </c>
      <c r="B39" s="8" t="s">
        <v>180</v>
      </c>
      <c r="C39" s="8" t="s">
        <v>30</v>
      </c>
      <c r="D39" s="8" t="s">
        <v>31</v>
      </c>
      <c r="E39" s="8" t="s">
        <v>32</v>
      </c>
      <c r="F39" s="10">
        <v>5.54</v>
      </c>
      <c r="G39" s="8" t="s">
        <v>203</v>
      </c>
      <c r="H39" s="8" t="s">
        <v>103</v>
      </c>
      <c r="I39" s="8" t="s">
        <v>104</v>
      </c>
      <c r="J39" s="8" t="s">
        <v>105</v>
      </c>
      <c r="K39" s="8">
        <v>4539.54</v>
      </c>
      <c r="L39" s="11">
        <v>4539.54</v>
      </c>
      <c r="M39" s="8" t="s">
        <v>66</v>
      </c>
      <c r="N39" s="8" t="s">
        <v>13</v>
      </c>
      <c r="O39" s="8" t="s">
        <v>202</v>
      </c>
      <c r="P39" t="s">
        <v>179</v>
      </c>
      <c r="Q39" t="s">
        <v>68</v>
      </c>
      <c r="R39" t="s">
        <v>96</v>
      </c>
    </row>
    <row r="40" spans="1:18">
      <c r="A40" s="38">
        <v>45261</v>
      </c>
      <c r="B40" s="8" t="s">
        <v>180</v>
      </c>
      <c r="C40" s="8" t="s">
        <v>30</v>
      </c>
      <c r="D40" s="8" t="s">
        <v>31</v>
      </c>
      <c r="E40" s="8" t="s">
        <v>32</v>
      </c>
      <c r="F40" s="10">
        <v>5.92</v>
      </c>
      <c r="G40" s="8" t="s">
        <v>204</v>
      </c>
      <c r="H40" s="8" t="s">
        <v>205</v>
      </c>
      <c r="I40" s="8" t="s">
        <v>206</v>
      </c>
      <c r="J40" s="8" t="s">
        <v>88</v>
      </c>
      <c r="K40" s="8">
        <v>866.73</v>
      </c>
      <c r="L40" s="11">
        <v>866.73</v>
      </c>
      <c r="M40" s="8" t="s">
        <v>66</v>
      </c>
      <c r="N40" s="8" t="s">
        <v>13</v>
      </c>
      <c r="O40" s="8" t="s">
        <v>202</v>
      </c>
      <c r="P40" t="s">
        <v>179</v>
      </c>
      <c r="Q40" t="s">
        <v>68</v>
      </c>
      <c r="R40" t="s">
        <v>96</v>
      </c>
    </row>
    <row r="41" spans="1:18">
      <c r="A41" s="38">
        <v>45261</v>
      </c>
      <c r="B41" s="8" t="s">
        <v>180</v>
      </c>
      <c r="C41" s="8" t="s">
        <v>30</v>
      </c>
      <c r="D41" s="8" t="s">
        <v>31</v>
      </c>
      <c r="E41" s="8" t="s">
        <v>32</v>
      </c>
      <c r="F41" s="10">
        <v>5.5</v>
      </c>
      <c r="G41" s="8" t="s">
        <v>207</v>
      </c>
      <c r="H41" s="8" t="s">
        <v>208</v>
      </c>
      <c r="I41" s="8" t="s">
        <v>104</v>
      </c>
      <c r="J41" s="8" t="s">
        <v>105</v>
      </c>
      <c r="K41" s="8">
        <v>2269.77</v>
      </c>
      <c r="L41" s="11">
        <v>2269.77</v>
      </c>
      <c r="M41" s="8" t="s">
        <v>66</v>
      </c>
      <c r="N41" s="8" t="s">
        <v>13</v>
      </c>
      <c r="O41" s="8" t="s">
        <v>197</v>
      </c>
      <c r="P41" t="s">
        <v>30</v>
      </c>
      <c r="Q41" t="s">
        <v>31</v>
      </c>
      <c r="R41" t="s">
        <v>54</v>
      </c>
    </row>
    <row r="42" spans="1:18">
      <c r="A42" s="38">
        <v>45474</v>
      </c>
      <c r="B42" s="8" t="s">
        <v>180</v>
      </c>
      <c r="C42" s="8" t="s">
        <v>30</v>
      </c>
      <c r="D42" s="8" t="s">
        <v>31</v>
      </c>
      <c r="E42" s="8" t="s">
        <v>32</v>
      </c>
      <c r="F42" s="10">
        <v>5.59166666666667</v>
      </c>
      <c r="G42" s="8" t="s">
        <v>209</v>
      </c>
      <c r="H42" s="8" t="s">
        <v>210</v>
      </c>
      <c r="I42" s="8" t="s">
        <v>211</v>
      </c>
      <c r="J42" s="8" t="s">
        <v>81</v>
      </c>
      <c r="K42" s="8">
        <v>2269.77</v>
      </c>
      <c r="L42" s="11">
        <v>2269.77</v>
      </c>
      <c r="M42" s="8" t="s">
        <v>212</v>
      </c>
      <c r="N42" s="8" t="s">
        <v>52</v>
      </c>
      <c r="O42" s="8" t="s">
        <v>213</v>
      </c>
      <c r="P42" t="s">
        <v>179</v>
      </c>
      <c r="Q42" t="s">
        <v>68</v>
      </c>
      <c r="R42" t="s">
        <v>96</v>
      </c>
    </row>
    <row r="43" ht="22" customHeight="1" spans="1:18">
      <c r="A43" s="38">
        <v>45449</v>
      </c>
      <c r="B43" s="8" t="s">
        <v>214</v>
      </c>
      <c r="C43" s="8" t="s">
        <v>140</v>
      </c>
      <c r="D43" s="8" t="s">
        <v>20</v>
      </c>
      <c r="E43" s="8" t="s">
        <v>32</v>
      </c>
      <c r="F43" s="13">
        <v>17.4166666666667</v>
      </c>
      <c r="G43" s="8" t="s">
        <v>215</v>
      </c>
      <c r="H43" s="8" t="s">
        <v>103</v>
      </c>
      <c r="I43" s="8" t="s">
        <v>104</v>
      </c>
      <c r="J43" s="8" t="s">
        <v>105</v>
      </c>
      <c r="K43" s="8">
        <v>800</v>
      </c>
      <c r="L43" s="11">
        <v>800</v>
      </c>
      <c r="M43" s="8" t="s">
        <v>51</v>
      </c>
      <c r="N43" s="8" t="s">
        <v>13</v>
      </c>
      <c r="O43" s="8" t="s">
        <v>216</v>
      </c>
      <c r="P43" t="s">
        <v>140</v>
      </c>
      <c r="Q43" t="s">
        <v>20</v>
      </c>
      <c r="R43" t="s">
        <v>54</v>
      </c>
    </row>
    <row r="44" spans="1:18">
      <c r="A44" s="38">
        <v>45427</v>
      </c>
      <c r="B44" s="8" t="s">
        <v>214</v>
      </c>
      <c r="C44" s="8" t="s">
        <v>140</v>
      </c>
      <c r="D44" s="8" t="s">
        <v>20</v>
      </c>
      <c r="E44" s="8" t="s">
        <v>32</v>
      </c>
      <c r="F44" s="13">
        <v>17.4166666666667</v>
      </c>
      <c r="G44" s="8" t="s">
        <v>217</v>
      </c>
      <c r="H44" s="8" t="s">
        <v>103</v>
      </c>
      <c r="I44" s="8" t="s">
        <v>104</v>
      </c>
      <c r="J44" s="8" t="s">
        <v>105</v>
      </c>
      <c r="K44" s="8">
        <v>800</v>
      </c>
      <c r="L44" s="11">
        <v>800</v>
      </c>
      <c r="M44" s="8" t="s">
        <v>51</v>
      </c>
      <c r="N44" s="8" t="s">
        <v>13</v>
      </c>
      <c r="O44" s="8" t="s">
        <v>216</v>
      </c>
      <c r="P44" t="s">
        <v>140</v>
      </c>
      <c r="Q44" t="s">
        <v>20</v>
      </c>
      <c r="R44" t="s">
        <v>54</v>
      </c>
    </row>
    <row r="45" spans="1:18">
      <c r="A45" s="38">
        <v>44774</v>
      </c>
      <c r="B45" s="8" t="s">
        <v>218</v>
      </c>
      <c r="C45" s="8" t="s">
        <v>56</v>
      </c>
      <c r="D45" s="8" t="s">
        <v>111</v>
      </c>
      <c r="E45" s="8" t="s">
        <v>21</v>
      </c>
      <c r="F45" s="10">
        <v>6</v>
      </c>
      <c r="G45" s="8" t="s">
        <v>219</v>
      </c>
      <c r="J45" s="8" t="s">
        <v>100</v>
      </c>
      <c r="K45" s="8">
        <v>2000</v>
      </c>
      <c r="L45" s="11">
        <v>2000</v>
      </c>
      <c r="M45" s="8" t="s">
        <v>51</v>
      </c>
      <c r="N45" s="8" t="s">
        <v>13</v>
      </c>
      <c r="O45" s="8" t="s">
        <v>220</v>
      </c>
      <c r="P45" t="s">
        <v>28</v>
      </c>
      <c r="Q45" t="s">
        <v>111</v>
      </c>
      <c r="R45" t="s">
        <v>28</v>
      </c>
    </row>
    <row r="46" spans="1:18">
      <c r="A46" s="38">
        <v>45200</v>
      </c>
      <c r="B46" s="8" t="s">
        <v>221</v>
      </c>
      <c r="C46" s="8" t="s">
        <v>140</v>
      </c>
      <c r="D46" s="8" t="s">
        <v>20</v>
      </c>
      <c r="E46" s="8" t="s">
        <v>32</v>
      </c>
      <c r="F46" s="13">
        <v>11</v>
      </c>
      <c r="G46" s="8" t="s">
        <v>222</v>
      </c>
      <c r="H46" s="8" t="s">
        <v>23</v>
      </c>
      <c r="I46" s="8" t="s">
        <v>24</v>
      </c>
      <c r="J46" s="8" t="s">
        <v>25</v>
      </c>
      <c r="K46" s="8">
        <v>200</v>
      </c>
      <c r="L46" s="11">
        <v>200</v>
      </c>
      <c r="M46" s="8" t="s">
        <v>51</v>
      </c>
      <c r="N46" s="8" t="s">
        <v>13</v>
      </c>
      <c r="O46" s="8" t="s">
        <v>223</v>
      </c>
      <c r="P46" t="s">
        <v>140</v>
      </c>
      <c r="Q46" t="s">
        <v>20</v>
      </c>
      <c r="R46" t="s">
        <v>54</v>
      </c>
    </row>
    <row r="47" spans="1:18">
      <c r="A47" s="38">
        <v>45352</v>
      </c>
      <c r="B47" s="8" t="s">
        <v>221</v>
      </c>
      <c r="C47" s="8" t="s">
        <v>140</v>
      </c>
      <c r="D47" s="8" t="s">
        <v>20</v>
      </c>
      <c r="E47" s="8" t="s">
        <v>32</v>
      </c>
      <c r="F47" s="13">
        <v>11</v>
      </c>
      <c r="G47" s="8" t="s">
        <v>224</v>
      </c>
      <c r="H47" s="8" t="s">
        <v>23</v>
      </c>
      <c r="I47" s="8" t="s">
        <v>24</v>
      </c>
      <c r="J47" s="8" t="s">
        <v>25</v>
      </c>
      <c r="K47" s="8">
        <v>180</v>
      </c>
      <c r="L47" s="11">
        <v>180</v>
      </c>
      <c r="M47" s="8" t="s">
        <v>43</v>
      </c>
      <c r="N47" s="8" t="s">
        <v>13</v>
      </c>
      <c r="O47" s="8" t="s">
        <v>225</v>
      </c>
      <c r="P47" t="s">
        <v>140</v>
      </c>
      <c r="Q47" t="s">
        <v>20</v>
      </c>
      <c r="R47" t="s">
        <v>54</v>
      </c>
    </row>
    <row r="48" spans="1:18">
      <c r="A48" s="38">
        <v>44889</v>
      </c>
      <c r="B48" s="8" t="s">
        <v>221</v>
      </c>
      <c r="C48" s="8" t="s">
        <v>140</v>
      </c>
      <c r="D48" s="8" t="s">
        <v>20</v>
      </c>
      <c r="E48" s="8" t="s">
        <v>32</v>
      </c>
      <c r="F48" s="13">
        <v>9.44166666666667</v>
      </c>
      <c r="G48" s="8" t="s">
        <v>226</v>
      </c>
      <c r="H48" s="8" t="s">
        <v>23</v>
      </c>
      <c r="I48" s="8" t="s">
        <v>24</v>
      </c>
      <c r="J48" s="8" t="s">
        <v>25</v>
      </c>
      <c r="K48" s="8">
        <v>410</v>
      </c>
      <c r="L48" s="11">
        <v>410</v>
      </c>
      <c r="M48" s="8" t="s">
        <v>51</v>
      </c>
      <c r="N48" s="8" t="s">
        <v>13</v>
      </c>
      <c r="O48" s="8" t="s">
        <v>227</v>
      </c>
      <c r="P48" t="s">
        <v>228</v>
      </c>
      <c r="Q48" t="s">
        <v>20</v>
      </c>
      <c r="R48" t="s">
        <v>62</v>
      </c>
    </row>
    <row r="49" spans="1:40">
      <c r="A49" s="38">
        <v>44979</v>
      </c>
      <c r="B49" s="8" t="s">
        <v>229</v>
      </c>
      <c r="C49" s="8" t="s">
        <v>230</v>
      </c>
      <c r="D49" s="8" t="s">
        <v>68</v>
      </c>
      <c r="E49" s="8" t="s">
        <v>32</v>
      </c>
      <c r="F49" s="13">
        <v>8.6625</v>
      </c>
      <c r="G49" s="8" t="s">
        <v>231</v>
      </c>
      <c r="H49" s="8" t="s">
        <v>165</v>
      </c>
      <c r="I49" s="8" t="s">
        <v>165</v>
      </c>
      <c r="J49" s="8" t="s">
        <v>50</v>
      </c>
      <c r="K49" s="8">
        <v>1500</v>
      </c>
      <c r="L49" s="11">
        <v>1500</v>
      </c>
      <c r="M49" s="8" t="s">
        <v>75</v>
      </c>
      <c r="N49" s="8" t="s">
        <v>13</v>
      </c>
      <c r="O49" s="8" t="s">
        <v>232</v>
      </c>
      <c r="P49" t="s">
        <v>28</v>
      </c>
      <c r="Q49" t="s">
        <v>111</v>
      </c>
      <c r="R49" t="s">
        <v>28</v>
      </c>
    </row>
    <row r="50" spans="1:40">
      <c r="A50" s="38">
        <v>45435</v>
      </c>
      <c r="B50" s="8" t="s">
        <v>233</v>
      </c>
      <c r="C50" s="8" t="s">
        <v>234</v>
      </c>
      <c r="D50" s="8" t="s">
        <v>235</v>
      </c>
      <c r="E50" s="8" t="s">
        <v>21</v>
      </c>
      <c r="F50" s="13">
        <v>4.58333333333333</v>
      </c>
      <c r="G50" s="8" t="s">
        <v>236</v>
      </c>
      <c r="H50" s="8" t="s">
        <v>175</v>
      </c>
      <c r="I50" s="8" t="s">
        <v>176</v>
      </c>
      <c r="J50" s="8" t="s">
        <v>100</v>
      </c>
      <c r="K50" s="8">
        <v>1100</v>
      </c>
      <c r="L50" s="11">
        <v>1100</v>
      </c>
      <c r="M50" s="8" t="s">
        <v>51</v>
      </c>
      <c r="N50" s="8" t="s">
        <v>13</v>
      </c>
      <c r="O50" s="8" t="s">
        <v>237</v>
      </c>
      <c r="P50" t="s">
        <v>28</v>
      </c>
      <c r="Q50" t="s">
        <v>31</v>
      </c>
      <c r="R50" t="s">
        <v>28</v>
      </c>
    </row>
    <row r="51" spans="1:40">
      <c r="A51" s="38">
        <v>44774</v>
      </c>
      <c r="B51" s="8" t="s">
        <v>233</v>
      </c>
      <c r="C51" s="8" t="s">
        <v>234</v>
      </c>
      <c r="D51" s="8" t="s">
        <v>235</v>
      </c>
      <c r="E51" s="8" t="s">
        <v>21</v>
      </c>
      <c r="F51" s="13">
        <v>6.6</v>
      </c>
      <c r="G51" s="8" t="s">
        <v>238</v>
      </c>
      <c r="H51" s="8" t="s">
        <v>239</v>
      </c>
      <c r="I51" s="8" t="s">
        <v>200</v>
      </c>
      <c r="J51" s="8" t="s">
        <v>201</v>
      </c>
      <c r="K51" s="8">
        <v>500</v>
      </c>
      <c r="L51" s="11">
        <v>500</v>
      </c>
      <c r="M51" s="8" t="s">
        <v>240</v>
      </c>
      <c r="N51" s="8" t="s">
        <v>52</v>
      </c>
      <c r="O51" s="8" t="s">
        <v>241</v>
      </c>
      <c r="P51" t="s">
        <v>148</v>
      </c>
      <c r="Q51" t="s">
        <v>57</v>
      </c>
      <c r="R51" t="s">
        <v>96</v>
      </c>
    </row>
    <row r="52" spans="1:40">
      <c r="A52" s="38">
        <v>44743</v>
      </c>
      <c r="B52" s="8" t="s">
        <v>233</v>
      </c>
      <c r="C52" s="8" t="s">
        <v>234</v>
      </c>
      <c r="D52" s="8" t="s">
        <v>235</v>
      </c>
      <c r="E52" s="8" t="s">
        <v>21</v>
      </c>
      <c r="F52" s="10">
        <v>5.66666666666667</v>
      </c>
      <c r="G52" s="8" t="s">
        <v>242</v>
      </c>
      <c r="H52" s="8" t="s">
        <v>243</v>
      </c>
      <c r="I52" s="8" t="s">
        <v>244</v>
      </c>
      <c r="J52" s="8" t="s">
        <v>88</v>
      </c>
      <c r="K52" s="8">
        <v>1648.75</v>
      </c>
      <c r="L52" s="11">
        <v>1648.75</v>
      </c>
      <c r="M52" s="8" t="s">
        <v>245</v>
      </c>
      <c r="N52" s="8" t="s">
        <v>13</v>
      </c>
      <c r="O52" s="8" t="s">
        <v>246</v>
      </c>
      <c r="P52" t="s">
        <v>28</v>
      </c>
      <c r="Q52" t="s">
        <v>77</v>
      </c>
      <c r="R52" t="s">
        <v>28</v>
      </c>
    </row>
    <row r="53" spans="1:40">
      <c r="A53" s="38">
        <v>44896</v>
      </c>
      <c r="B53" s="8" t="s">
        <v>247</v>
      </c>
      <c r="C53" s="8" t="s">
        <v>56</v>
      </c>
      <c r="D53" s="8" t="s">
        <v>57</v>
      </c>
      <c r="E53" s="8" t="s">
        <v>32</v>
      </c>
      <c r="F53" s="10">
        <v>7.77777777777778</v>
      </c>
      <c r="G53" s="8" t="s">
        <v>248</v>
      </c>
      <c r="H53" s="8" t="s">
        <v>23</v>
      </c>
      <c r="I53" s="8" t="s">
        <v>24</v>
      </c>
      <c r="J53" s="8" t="s">
        <v>25</v>
      </c>
      <c r="K53" s="8">
        <v>226</v>
      </c>
      <c r="L53" s="11">
        <v>226</v>
      </c>
      <c r="M53" s="8" t="s">
        <v>51</v>
      </c>
      <c r="N53" s="8" t="s">
        <v>13</v>
      </c>
      <c r="O53" s="8" t="s">
        <v>249</v>
      </c>
      <c r="P53" t="s">
        <v>95</v>
      </c>
      <c r="Q53" t="s">
        <v>20</v>
      </c>
      <c r="R53" t="s">
        <v>96</v>
      </c>
    </row>
    <row r="54" spans="1:40">
      <c r="A54" s="38">
        <v>45047</v>
      </c>
      <c r="B54" s="8" t="s">
        <v>247</v>
      </c>
      <c r="C54" s="8" t="s">
        <v>56</v>
      </c>
      <c r="D54" s="8" t="s">
        <v>57</v>
      </c>
      <c r="E54" s="8" t="s">
        <v>32</v>
      </c>
      <c r="F54" s="10">
        <v>7.6</v>
      </c>
      <c r="G54" s="8" t="s">
        <v>250</v>
      </c>
      <c r="H54" s="8" t="s">
        <v>42</v>
      </c>
      <c r="I54" s="8" t="s">
        <v>42</v>
      </c>
      <c r="J54" s="8" t="s">
        <v>25</v>
      </c>
      <c r="K54" s="8">
        <v>414.92</v>
      </c>
      <c r="L54" s="11">
        <v>414.92</v>
      </c>
      <c r="M54" s="8" t="s">
        <v>66</v>
      </c>
      <c r="N54" s="8" t="s">
        <v>13</v>
      </c>
      <c r="O54" s="8" t="s">
        <v>251</v>
      </c>
      <c r="P54" t="s">
        <v>95</v>
      </c>
      <c r="Q54" t="s">
        <v>20</v>
      </c>
      <c r="R54" t="s">
        <v>96</v>
      </c>
    </row>
    <row r="55" spans="1:40">
      <c r="A55" s="38">
        <v>45078</v>
      </c>
      <c r="B55" s="8" t="s">
        <v>247</v>
      </c>
      <c r="C55" s="8" t="s">
        <v>56</v>
      </c>
      <c r="D55" s="8" t="s">
        <v>57</v>
      </c>
      <c r="E55" s="8" t="s">
        <v>32</v>
      </c>
      <c r="F55" s="13">
        <v>6.875</v>
      </c>
      <c r="G55" s="8" t="s">
        <v>252</v>
      </c>
      <c r="H55" s="8" t="s">
        <v>79</v>
      </c>
      <c r="I55" s="8" t="s">
        <v>80</v>
      </c>
      <c r="J55" s="8" t="s">
        <v>81</v>
      </c>
      <c r="K55" s="8">
        <v>1500</v>
      </c>
      <c r="L55" s="11">
        <v>1500</v>
      </c>
      <c r="M55" s="8" t="s">
        <v>75</v>
      </c>
      <c r="N55" s="8" t="s">
        <v>13</v>
      </c>
      <c r="O55" s="8" t="s">
        <v>253</v>
      </c>
      <c r="P55" t="s">
        <v>148</v>
      </c>
      <c r="Q55" t="s">
        <v>57</v>
      </c>
      <c r="R55" t="s">
        <v>96</v>
      </c>
    </row>
    <row r="56" spans="1:40">
      <c r="A56" s="38">
        <v>45170</v>
      </c>
      <c r="B56" s="8" t="s">
        <v>247</v>
      </c>
      <c r="C56" s="8" t="s">
        <v>56</v>
      </c>
      <c r="D56" s="8" t="s">
        <v>57</v>
      </c>
      <c r="E56" s="8" t="s">
        <v>32</v>
      </c>
      <c r="F56" s="13">
        <v>6.41666666666667</v>
      </c>
      <c r="G56" s="8" t="s">
        <v>254</v>
      </c>
      <c r="H56" s="8" t="s">
        <v>255</v>
      </c>
      <c r="I56" s="8" t="s">
        <v>244</v>
      </c>
      <c r="J56" s="8" t="s">
        <v>88</v>
      </c>
      <c r="K56" s="8">
        <v>3300</v>
      </c>
      <c r="L56" s="11">
        <v>3300</v>
      </c>
      <c r="M56" s="8" t="s">
        <v>43</v>
      </c>
      <c r="N56" s="8" t="s">
        <v>13</v>
      </c>
      <c r="O56" s="8" t="s">
        <v>256</v>
      </c>
      <c r="P56" t="s">
        <v>28</v>
      </c>
      <c r="Q56" t="s">
        <v>57</v>
      </c>
      <c r="R56" t="s">
        <v>28</v>
      </c>
      <c r="S56" s="15"/>
      <c r="T56" s="15"/>
      <c r="U56" s="15"/>
      <c r="V56" s="15"/>
      <c r="W56" s="15"/>
      <c r="X56" s="15"/>
      <c r="Y56" s="15"/>
      <c r="Z56" s="15"/>
      <c r="AA56" s="15"/>
      <c r="AB56" s="15"/>
      <c r="AC56" s="15"/>
      <c r="AD56" s="15"/>
      <c r="AE56" s="15"/>
      <c r="AF56" s="15"/>
      <c r="AG56" s="15"/>
      <c r="AH56" s="15"/>
      <c r="AI56" s="15"/>
      <c r="AJ56" s="15"/>
      <c r="AK56" s="15"/>
      <c r="AL56" s="15"/>
      <c r="AM56" s="15"/>
      <c r="AN56" s="15"/>
    </row>
    <row r="57" spans="1:40">
      <c r="A57" s="38">
        <v>45174</v>
      </c>
      <c r="B57" s="8" t="s">
        <v>247</v>
      </c>
      <c r="C57" s="8" t="s">
        <v>56</v>
      </c>
      <c r="D57" s="8" t="s">
        <v>57</v>
      </c>
      <c r="E57" s="8" t="s">
        <v>32</v>
      </c>
      <c r="F57" s="13">
        <v>6.41666666666667</v>
      </c>
      <c r="G57" s="8" t="s">
        <v>257</v>
      </c>
      <c r="H57" s="8" t="s">
        <v>109</v>
      </c>
      <c r="I57" s="8" t="s">
        <v>87</v>
      </c>
      <c r="J57" s="8" t="s">
        <v>88</v>
      </c>
      <c r="K57" s="8">
        <v>2000</v>
      </c>
      <c r="L57" s="11">
        <v>2000</v>
      </c>
      <c r="M57" s="8" t="s">
        <v>51</v>
      </c>
      <c r="N57" s="8" t="s">
        <v>13</v>
      </c>
      <c r="O57" s="8" t="s">
        <v>258</v>
      </c>
      <c r="P57" t="s">
        <v>61</v>
      </c>
      <c r="Q57" t="s">
        <v>57</v>
      </c>
      <c r="R57" t="s">
        <v>62</v>
      </c>
    </row>
    <row r="58" spans="1:40">
      <c r="A58" s="38">
        <v>44988</v>
      </c>
      <c r="B58" s="8" t="s">
        <v>247</v>
      </c>
      <c r="C58" s="8" t="s">
        <v>56</v>
      </c>
      <c r="D58" s="8" t="s">
        <v>57</v>
      </c>
      <c r="E58" s="8" t="s">
        <v>32</v>
      </c>
      <c r="F58" s="13">
        <v>7.15</v>
      </c>
      <c r="G58" s="8" t="s">
        <v>259</v>
      </c>
      <c r="H58" s="8" t="s">
        <v>199</v>
      </c>
      <c r="I58" s="8" t="s">
        <v>200</v>
      </c>
      <c r="J58" s="8" t="s">
        <v>201</v>
      </c>
      <c r="K58" s="8">
        <v>1052</v>
      </c>
      <c r="L58" s="11">
        <v>1052</v>
      </c>
      <c r="M58" s="8" t="s">
        <v>43</v>
      </c>
      <c r="N58" s="8" t="s">
        <v>13</v>
      </c>
      <c r="O58" s="8" t="s">
        <v>260</v>
      </c>
      <c r="P58" t="s">
        <v>234</v>
      </c>
      <c r="Q58" t="s">
        <v>31</v>
      </c>
      <c r="R58" t="s">
        <v>45</v>
      </c>
    </row>
    <row r="59" spans="1:40">
      <c r="A59" s="38">
        <v>45474</v>
      </c>
      <c r="B59" s="8" t="s">
        <v>247</v>
      </c>
      <c r="C59" s="8" t="s">
        <v>56</v>
      </c>
      <c r="D59" s="8" t="s">
        <v>57</v>
      </c>
      <c r="E59" s="8" t="s">
        <v>32</v>
      </c>
      <c r="F59" s="13">
        <v>6.875</v>
      </c>
      <c r="G59" s="8" t="s">
        <v>261</v>
      </c>
      <c r="H59" s="8" t="s">
        <v>109</v>
      </c>
      <c r="I59" s="8" t="s">
        <v>87</v>
      </c>
      <c r="J59" s="8" t="s">
        <v>88</v>
      </c>
      <c r="K59" s="8">
        <v>1213</v>
      </c>
      <c r="L59" s="11">
        <v>1213</v>
      </c>
      <c r="M59" s="8" t="s">
        <v>26</v>
      </c>
      <c r="N59" s="8" t="s">
        <v>13</v>
      </c>
      <c r="O59" s="8" t="s">
        <v>262</v>
      </c>
      <c r="P59" t="s">
        <v>61</v>
      </c>
      <c r="Q59" t="s">
        <v>57</v>
      </c>
      <c r="R59" t="s">
        <v>62</v>
      </c>
    </row>
    <row r="60" spans="1:40">
      <c r="A60" s="38">
        <v>45323.5699884259</v>
      </c>
      <c r="B60" s="8" t="s">
        <v>247</v>
      </c>
      <c r="C60" s="8" t="s">
        <v>56</v>
      </c>
      <c r="D60" s="8" t="s">
        <v>57</v>
      </c>
      <c r="E60" s="8" t="s">
        <v>32</v>
      </c>
      <c r="F60" s="10">
        <v>7.66666666666667</v>
      </c>
      <c r="G60" s="8" t="s">
        <v>263</v>
      </c>
      <c r="H60" s="8" t="s">
        <v>109</v>
      </c>
      <c r="I60" s="8" t="s">
        <v>87</v>
      </c>
      <c r="J60" s="8" t="s">
        <v>88</v>
      </c>
      <c r="K60" s="8">
        <v>391</v>
      </c>
      <c r="L60" s="11">
        <v>391</v>
      </c>
      <c r="M60" s="8" t="s">
        <v>75</v>
      </c>
      <c r="N60" s="8" t="s">
        <v>13</v>
      </c>
      <c r="O60" s="8" t="s">
        <v>264</v>
      </c>
      <c r="P60" t="s">
        <v>265</v>
      </c>
      <c r="Q60" t="s">
        <v>31</v>
      </c>
      <c r="R60" t="s">
        <v>84</v>
      </c>
    </row>
    <row r="61" spans="1:40">
      <c r="A61" s="38">
        <v>45092</v>
      </c>
      <c r="B61" s="8" t="s">
        <v>247</v>
      </c>
      <c r="C61" s="8" t="s">
        <v>56</v>
      </c>
      <c r="D61" s="8" t="s">
        <v>57</v>
      </c>
      <c r="E61" s="8" t="s">
        <v>32</v>
      </c>
      <c r="F61" s="13">
        <v>6.96666666666667</v>
      </c>
      <c r="G61" s="8" t="s">
        <v>266</v>
      </c>
      <c r="H61" s="8" t="s">
        <v>91</v>
      </c>
      <c r="I61" s="8" t="s">
        <v>92</v>
      </c>
      <c r="J61" s="8" t="s">
        <v>93</v>
      </c>
      <c r="K61" s="8">
        <v>1000</v>
      </c>
      <c r="L61" s="11">
        <v>1000</v>
      </c>
      <c r="M61" s="8" t="s">
        <v>75</v>
      </c>
      <c r="N61" s="8" t="s">
        <v>13</v>
      </c>
      <c r="O61" s="8" t="s">
        <v>267</v>
      </c>
      <c r="Q61" t="s">
        <v>151</v>
      </c>
    </row>
    <row r="62" spans="1:40">
      <c r="A62" s="38">
        <v>44746</v>
      </c>
      <c r="B62" s="8" t="s">
        <v>247</v>
      </c>
      <c r="C62" s="8" t="s">
        <v>56</v>
      </c>
      <c r="D62" s="8" t="s">
        <v>57</v>
      </c>
      <c r="E62" s="8" t="s">
        <v>32</v>
      </c>
      <c r="F62" s="10">
        <v>6.325</v>
      </c>
      <c r="G62" s="8" t="s">
        <v>268</v>
      </c>
      <c r="H62" s="8" t="s">
        <v>269</v>
      </c>
      <c r="I62" s="8" t="s">
        <v>80</v>
      </c>
      <c r="J62" s="8" t="s">
        <v>81</v>
      </c>
      <c r="K62" s="8">
        <v>1594</v>
      </c>
      <c r="L62" s="11">
        <v>1594</v>
      </c>
      <c r="M62" s="8" t="s">
        <v>66</v>
      </c>
      <c r="N62" s="8" t="s">
        <v>13</v>
      </c>
      <c r="O62" s="8" t="s">
        <v>270</v>
      </c>
      <c r="P62" t="s">
        <v>28</v>
      </c>
      <c r="Q62" t="s">
        <v>271</v>
      </c>
      <c r="R62" t="s">
        <v>28</v>
      </c>
    </row>
    <row r="63" spans="1:40">
      <c r="A63" s="38">
        <v>45413</v>
      </c>
      <c r="B63" s="8" t="s">
        <v>272</v>
      </c>
      <c r="C63" s="8" t="s">
        <v>56</v>
      </c>
      <c r="D63" s="8" t="s">
        <v>188</v>
      </c>
      <c r="E63" s="8" t="s">
        <v>21</v>
      </c>
      <c r="F63" s="10">
        <v>4.25</v>
      </c>
      <c r="G63" s="8" t="s">
        <v>273</v>
      </c>
      <c r="H63" s="8" t="s">
        <v>49</v>
      </c>
      <c r="I63" s="8" t="s">
        <v>49</v>
      </c>
      <c r="J63" s="8" t="s">
        <v>50</v>
      </c>
      <c r="K63" s="8">
        <v>1940.57</v>
      </c>
      <c r="L63" s="11">
        <v>1940.57</v>
      </c>
      <c r="M63" s="8" t="s">
        <v>43</v>
      </c>
      <c r="N63" s="8" t="s">
        <v>13</v>
      </c>
      <c r="O63" s="8" t="s">
        <v>274</v>
      </c>
      <c r="P63" t="s">
        <v>133</v>
      </c>
      <c r="Q63" t="s">
        <v>134</v>
      </c>
      <c r="R63" t="s">
        <v>84</v>
      </c>
    </row>
    <row r="64" spans="1:40">
      <c r="A64" s="38">
        <v>45413</v>
      </c>
      <c r="B64" s="8" t="s">
        <v>275</v>
      </c>
      <c r="C64" s="8" t="s">
        <v>276</v>
      </c>
      <c r="D64" s="8" t="s">
        <v>39</v>
      </c>
      <c r="E64" s="8" t="s">
        <v>32</v>
      </c>
      <c r="F64" s="10">
        <v>8.13230769230769</v>
      </c>
      <c r="G64" s="8" t="s">
        <v>277</v>
      </c>
      <c r="H64" s="8" t="s">
        <v>269</v>
      </c>
      <c r="I64" s="8" t="s">
        <v>80</v>
      </c>
      <c r="J64" s="8" t="s">
        <v>81</v>
      </c>
      <c r="K64" s="8">
        <v>658.41</v>
      </c>
      <c r="L64" s="11">
        <v>658.41</v>
      </c>
      <c r="M64" s="8" t="s">
        <v>37</v>
      </c>
      <c r="N64" s="8" t="s">
        <v>52</v>
      </c>
      <c r="O64" s="8" t="s">
        <v>278</v>
      </c>
      <c r="P64" t="s">
        <v>30</v>
      </c>
      <c r="Q64" t="s">
        <v>31</v>
      </c>
      <c r="R64" t="s">
        <v>54</v>
      </c>
    </row>
    <row r="65" spans="1:18">
      <c r="A65" s="38">
        <v>45072</v>
      </c>
      <c r="B65" s="8" t="s">
        <v>279</v>
      </c>
      <c r="C65" s="8" t="s">
        <v>95</v>
      </c>
      <c r="D65" s="8" t="s">
        <v>20</v>
      </c>
      <c r="E65" s="8" t="s">
        <v>32</v>
      </c>
      <c r="F65" s="13">
        <v>7.79166666666667</v>
      </c>
      <c r="G65" s="8" t="s">
        <v>280</v>
      </c>
      <c r="H65" s="8" t="s">
        <v>23</v>
      </c>
      <c r="I65" s="8" t="s">
        <v>24</v>
      </c>
      <c r="J65" s="8" t="s">
        <v>25</v>
      </c>
      <c r="K65" s="8">
        <v>1600</v>
      </c>
      <c r="L65" s="11">
        <v>1600</v>
      </c>
      <c r="M65" s="8" t="s">
        <v>51</v>
      </c>
      <c r="N65" s="8" t="s">
        <v>52</v>
      </c>
      <c r="O65" s="8" t="s">
        <v>223</v>
      </c>
      <c r="P65" t="s">
        <v>140</v>
      </c>
      <c r="Q65" t="s">
        <v>20</v>
      </c>
      <c r="R65" t="s">
        <v>54</v>
      </c>
    </row>
    <row r="66" spans="1:18">
      <c r="A66" s="38">
        <v>45078</v>
      </c>
      <c r="B66" s="8" t="s">
        <v>281</v>
      </c>
      <c r="C66" s="8" t="s">
        <v>72</v>
      </c>
      <c r="D66" s="8" t="s">
        <v>39</v>
      </c>
      <c r="E66" s="8" t="s">
        <v>21</v>
      </c>
      <c r="F66" s="13">
        <v>5.95833333333333</v>
      </c>
      <c r="G66" s="8" t="s">
        <v>282</v>
      </c>
      <c r="H66" s="8" t="s">
        <v>165</v>
      </c>
      <c r="I66" s="8" t="s">
        <v>165</v>
      </c>
      <c r="J66" s="8" t="s">
        <v>50</v>
      </c>
      <c r="K66" s="8">
        <v>3000</v>
      </c>
      <c r="L66" s="11">
        <v>3000</v>
      </c>
      <c r="M66" s="8" t="s">
        <v>51</v>
      </c>
      <c r="N66" s="8" t="s">
        <v>13</v>
      </c>
      <c r="O66" s="8" t="s">
        <v>283</v>
      </c>
      <c r="P66" t="s">
        <v>234</v>
      </c>
      <c r="Q66" t="s">
        <v>31</v>
      </c>
      <c r="R66" t="s">
        <v>45</v>
      </c>
    </row>
    <row r="67" spans="1:18">
      <c r="A67" s="38">
        <v>45036</v>
      </c>
      <c r="B67" s="8" t="s">
        <v>284</v>
      </c>
      <c r="C67" s="8" t="s">
        <v>95</v>
      </c>
      <c r="D67" s="8" t="s">
        <v>20</v>
      </c>
      <c r="E67" s="8" t="s">
        <v>32</v>
      </c>
      <c r="F67" s="13">
        <v>10.5416666666667</v>
      </c>
      <c r="G67" s="8" t="s">
        <v>285</v>
      </c>
      <c r="H67" s="8" t="s">
        <v>286</v>
      </c>
      <c r="I67" s="8" t="s">
        <v>24</v>
      </c>
      <c r="J67" s="8" t="s">
        <v>25</v>
      </c>
      <c r="K67" s="8">
        <v>2300</v>
      </c>
      <c r="L67" s="11">
        <v>2300</v>
      </c>
      <c r="M67" s="8" t="s">
        <v>43</v>
      </c>
      <c r="N67" s="8" t="s">
        <v>13</v>
      </c>
      <c r="O67" s="8" t="s">
        <v>287</v>
      </c>
      <c r="P67" t="s">
        <v>19</v>
      </c>
      <c r="Q67" t="s">
        <v>20</v>
      </c>
      <c r="R67" t="s">
        <v>45</v>
      </c>
    </row>
    <row r="68" spans="1:18">
      <c r="A68" s="38">
        <v>45261</v>
      </c>
      <c r="B68" s="8" t="s">
        <v>281</v>
      </c>
      <c r="C68" s="8" t="s">
        <v>72</v>
      </c>
      <c r="D68" s="8" t="s">
        <v>39</v>
      </c>
      <c r="E68" s="8" t="s">
        <v>21</v>
      </c>
      <c r="F68" s="10">
        <v>7.05</v>
      </c>
      <c r="G68" s="8" t="s">
        <v>288</v>
      </c>
      <c r="H68" s="8" t="s">
        <v>171</v>
      </c>
      <c r="I68" s="8" t="s">
        <v>171</v>
      </c>
      <c r="J68" s="8" t="s">
        <v>50</v>
      </c>
      <c r="K68" s="8">
        <v>246.82</v>
      </c>
      <c r="L68" s="11">
        <v>246.82</v>
      </c>
      <c r="M68" s="8" t="s">
        <v>66</v>
      </c>
      <c r="N68" s="8" t="s">
        <v>52</v>
      </c>
      <c r="O68" s="8" t="s">
        <v>289</v>
      </c>
      <c r="P68" t="s">
        <v>140</v>
      </c>
      <c r="Q68" t="s">
        <v>20</v>
      </c>
      <c r="R68" t="s">
        <v>54</v>
      </c>
    </row>
    <row r="69" spans="1:18">
      <c r="A69" s="38">
        <v>45381</v>
      </c>
      <c r="B69" s="8" t="s">
        <v>284</v>
      </c>
      <c r="C69" s="8" t="s">
        <v>95</v>
      </c>
      <c r="D69" s="8" t="s">
        <v>20</v>
      </c>
      <c r="E69" s="8" t="s">
        <v>32</v>
      </c>
      <c r="F69" s="13">
        <v>10.5416666666667</v>
      </c>
      <c r="G69" s="8" t="s">
        <v>290</v>
      </c>
      <c r="H69" s="8" t="s">
        <v>291</v>
      </c>
      <c r="I69" s="8" t="s">
        <v>87</v>
      </c>
      <c r="J69" s="8" t="s">
        <v>88</v>
      </c>
      <c r="K69" s="8">
        <v>241</v>
      </c>
      <c r="L69" s="11">
        <v>241</v>
      </c>
      <c r="M69" s="8" t="s">
        <v>51</v>
      </c>
      <c r="N69" s="8" t="s">
        <v>13</v>
      </c>
      <c r="O69" s="8" t="s">
        <v>292</v>
      </c>
      <c r="P69" t="s">
        <v>293</v>
      </c>
      <c r="Q69" t="s">
        <v>39</v>
      </c>
      <c r="R69" t="s">
        <v>62</v>
      </c>
    </row>
    <row r="70" spans="1:18">
      <c r="A70" s="38">
        <v>45383</v>
      </c>
      <c r="B70" s="8" t="s">
        <v>294</v>
      </c>
      <c r="C70" s="8" t="s">
        <v>95</v>
      </c>
      <c r="D70" s="8" t="s">
        <v>20</v>
      </c>
      <c r="E70" s="8" t="s">
        <v>32</v>
      </c>
      <c r="F70" s="10">
        <v>12.8333333333333</v>
      </c>
      <c r="G70" s="8" t="s">
        <v>295</v>
      </c>
      <c r="H70" s="8" t="s">
        <v>142</v>
      </c>
      <c r="I70" s="8" t="s">
        <v>142</v>
      </c>
      <c r="J70" s="8" t="s">
        <v>25</v>
      </c>
      <c r="K70" s="8">
        <v>183.44</v>
      </c>
      <c r="L70" s="11">
        <v>183.44</v>
      </c>
      <c r="M70" s="8" t="s">
        <v>37</v>
      </c>
      <c r="N70" s="8" t="s">
        <v>13</v>
      </c>
      <c r="O70" s="8" t="s">
        <v>296</v>
      </c>
      <c r="P70" t="s">
        <v>95</v>
      </c>
      <c r="Q70" t="s">
        <v>20</v>
      </c>
      <c r="R70" t="s">
        <v>96</v>
      </c>
    </row>
    <row r="71" spans="1:18">
      <c r="A71" s="38">
        <v>44718</v>
      </c>
      <c r="B71" s="8" t="s">
        <v>294</v>
      </c>
      <c r="C71" s="8" t="s">
        <v>95</v>
      </c>
      <c r="D71" s="8" t="s">
        <v>20</v>
      </c>
      <c r="E71" s="8" t="s">
        <v>32</v>
      </c>
      <c r="F71" s="10">
        <v>13.2222222222222</v>
      </c>
      <c r="G71" s="8" t="s">
        <v>297</v>
      </c>
      <c r="H71" s="8" t="s">
        <v>23</v>
      </c>
      <c r="I71" s="8" t="s">
        <v>24</v>
      </c>
      <c r="J71" s="8" t="s">
        <v>25</v>
      </c>
      <c r="K71" s="8">
        <v>900</v>
      </c>
      <c r="L71" s="11">
        <v>900</v>
      </c>
      <c r="M71" s="8" t="s">
        <v>51</v>
      </c>
      <c r="N71" s="8" t="s">
        <v>13</v>
      </c>
      <c r="O71" s="8" t="s">
        <v>298</v>
      </c>
      <c r="P71" t="s">
        <v>95</v>
      </c>
      <c r="Q71" t="s">
        <v>20</v>
      </c>
      <c r="R71" t="s">
        <v>96</v>
      </c>
    </row>
    <row r="72" spans="1:18">
      <c r="A72" s="38">
        <v>45078</v>
      </c>
      <c r="B72" s="8" t="s">
        <v>294</v>
      </c>
      <c r="C72" s="8" t="s">
        <v>95</v>
      </c>
      <c r="D72" s="8" t="s">
        <v>20</v>
      </c>
      <c r="E72" s="8" t="s">
        <v>32</v>
      </c>
      <c r="F72" s="13">
        <v>10.0833333333333</v>
      </c>
      <c r="G72" s="8" t="s">
        <v>299</v>
      </c>
      <c r="H72" s="8" t="s">
        <v>23</v>
      </c>
      <c r="I72" s="8" t="s">
        <v>24</v>
      </c>
      <c r="J72" s="8" t="s">
        <v>25</v>
      </c>
      <c r="K72" s="8">
        <v>387</v>
      </c>
      <c r="L72" s="11">
        <v>387</v>
      </c>
      <c r="M72" s="8" t="s">
        <v>43</v>
      </c>
      <c r="N72" s="8" t="s">
        <v>13</v>
      </c>
      <c r="O72" s="8" t="s">
        <v>298</v>
      </c>
      <c r="P72" t="s">
        <v>95</v>
      </c>
      <c r="Q72" t="s">
        <v>20</v>
      </c>
      <c r="R72" t="s">
        <v>96</v>
      </c>
    </row>
    <row r="73" spans="1:18">
      <c r="A73" s="38">
        <v>45444</v>
      </c>
      <c r="B73" s="8" t="s">
        <v>294</v>
      </c>
      <c r="C73" s="8" t="s">
        <v>95</v>
      </c>
      <c r="D73" s="8" t="s">
        <v>20</v>
      </c>
      <c r="E73" s="8" t="s">
        <v>32</v>
      </c>
      <c r="F73" s="10">
        <v>10.5416666666667</v>
      </c>
      <c r="G73" s="8" t="s">
        <v>300</v>
      </c>
      <c r="H73" s="8" t="s">
        <v>23</v>
      </c>
      <c r="I73" s="8" t="s">
        <v>24</v>
      </c>
      <c r="J73" s="8" t="s">
        <v>25</v>
      </c>
      <c r="K73" s="8">
        <v>377</v>
      </c>
      <c r="L73" s="11">
        <v>377</v>
      </c>
      <c r="M73" s="8" t="s">
        <v>26</v>
      </c>
      <c r="N73" s="8" t="s">
        <v>13</v>
      </c>
      <c r="O73" s="8" t="s">
        <v>301</v>
      </c>
      <c r="P73" t="s">
        <v>28</v>
      </c>
      <c r="Q73" t="s">
        <v>20</v>
      </c>
    </row>
    <row r="74" spans="1:18">
      <c r="A74" s="38">
        <v>44798</v>
      </c>
      <c r="B74" s="8" t="s">
        <v>294</v>
      </c>
      <c r="C74" s="8" t="s">
        <v>95</v>
      </c>
      <c r="D74" s="8" t="s">
        <v>20</v>
      </c>
      <c r="E74" s="8" t="s">
        <v>32</v>
      </c>
      <c r="F74" s="10">
        <v>10.39</v>
      </c>
      <c r="G74" s="8" t="s">
        <v>302</v>
      </c>
      <c r="H74" s="8" t="s">
        <v>23</v>
      </c>
      <c r="I74" s="8" t="s">
        <v>24</v>
      </c>
      <c r="J74" s="8" t="s">
        <v>25</v>
      </c>
      <c r="K74" s="8">
        <v>460.49</v>
      </c>
      <c r="L74" s="11">
        <v>460.49</v>
      </c>
      <c r="M74" s="8" t="s">
        <v>51</v>
      </c>
      <c r="N74" s="8" t="s">
        <v>13</v>
      </c>
      <c r="O74" s="8" t="s">
        <v>303</v>
      </c>
      <c r="P74" t="s">
        <v>234</v>
      </c>
      <c r="Q74" t="s">
        <v>31</v>
      </c>
      <c r="R74" t="s">
        <v>45</v>
      </c>
    </row>
    <row r="75" spans="1:18">
      <c r="A75" s="38">
        <v>45412</v>
      </c>
      <c r="B75" s="8" t="s">
        <v>294</v>
      </c>
      <c r="C75" s="8" t="s">
        <v>95</v>
      </c>
      <c r="D75" s="8" t="s">
        <v>20</v>
      </c>
      <c r="E75" s="8" t="s">
        <v>32</v>
      </c>
      <c r="F75" s="13">
        <v>10.2666666666667</v>
      </c>
      <c r="G75" s="8" t="s">
        <v>304</v>
      </c>
      <c r="H75" s="8" t="s">
        <v>305</v>
      </c>
      <c r="I75" s="8" t="s">
        <v>126</v>
      </c>
      <c r="J75" s="8" t="s">
        <v>127</v>
      </c>
      <c r="K75" s="8">
        <v>239</v>
      </c>
      <c r="L75" s="11">
        <v>239</v>
      </c>
      <c r="M75" s="8" t="s">
        <v>51</v>
      </c>
      <c r="N75" s="8" t="s">
        <v>13</v>
      </c>
      <c r="O75" s="8" t="s">
        <v>306</v>
      </c>
      <c r="P75" t="s">
        <v>28</v>
      </c>
      <c r="Q75" t="s">
        <v>39</v>
      </c>
      <c r="R75" t="s">
        <v>28</v>
      </c>
    </row>
    <row r="76" spans="1:18">
      <c r="A76" s="38">
        <v>45261</v>
      </c>
      <c r="B76" s="8" t="s">
        <v>281</v>
      </c>
      <c r="C76" s="8" t="s">
        <v>72</v>
      </c>
      <c r="D76" s="8" t="s">
        <v>39</v>
      </c>
      <c r="E76" s="8" t="s">
        <v>21</v>
      </c>
      <c r="F76" s="10">
        <v>7.37</v>
      </c>
      <c r="G76" s="8" t="s">
        <v>307</v>
      </c>
      <c r="H76" s="8" t="s">
        <v>171</v>
      </c>
      <c r="I76" s="8" t="s">
        <v>171</v>
      </c>
      <c r="J76" s="8" t="s">
        <v>50</v>
      </c>
      <c r="K76" s="8">
        <v>847.39</v>
      </c>
      <c r="L76" s="11">
        <v>847.39</v>
      </c>
      <c r="M76" s="8" t="s">
        <v>66</v>
      </c>
      <c r="N76" s="8" t="s">
        <v>52</v>
      </c>
      <c r="O76" s="8" t="s">
        <v>289</v>
      </c>
      <c r="P76" t="s">
        <v>140</v>
      </c>
      <c r="Q76" t="s">
        <v>20</v>
      </c>
      <c r="R76" t="s">
        <v>54</v>
      </c>
    </row>
    <row r="77" spans="1:18">
      <c r="A77" s="38">
        <v>44996</v>
      </c>
      <c r="B77" s="8" t="s">
        <v>308</v>
      </c>
      <c r="C77" s="8" t="s">
        <v>140</v>
      </c>
      <c r="D77" s="8" t="s">
        <v>20</v>
      </c>
      <c r="E77" s="8" t="s">
        <v>32</v>
      </c>
      <c r="F77" s="14">
        <v>9.7</v>
      </c>
      <c r="G77" s="8" t="s">
        <v>309</v>
      </c>
      <c r="H77" s="8" t="s">
        <v>59</v>
      </c>
      <c r="I77" s="8" t="s">
        <v>59</v>
      </c>
      <c r="J77" s="8" t="s">
        <v>25</v>
      </c>
      <c r="K77" s="8">
        <v>1237</v>
      </c>
      <c r="L77" s="11">
        <v>1237</v>
      </c>
      <c r="M77" s="8" t="s">
        <v>43</v>
      </c>
      <c r="N77" s="8" t="s">
        <v>52</v>
      </c>
      <c r="O77" s="8" t="s">
        <v>310</v>
      </c>
      <c r="P77" t="s">
        <v>140</v>
      </c>
      <c r="Q77" t="s">
        <v>20</v>
      </c>
      <c r="R77" t="s">
        <v>54</v>
      </c>
    </row>
    <row r="78" spans="1:18">
      <c r="A78" s="38">
        <v>45261</v>
      </c>
      <c r="B78" s="8" t="s">
        <v>308</v>
      </c>
      <c r="C78" s="8" t="s">
        <v>140</v>
      </c>
      <c r="D78" s="8" t="s">
        <v>20</v>
      </c>
      <c r="E78" s="8" t="s">
        <v>32</v>
      </c>
      <c r="F78" s="10">
        <v>7.5</v>
      </c>
      <c r="G78" s="8" t="s">
        <v>311</v>
      </c>
      <c r="H78" s="8" t="s">
        <v>182</v>
      </c>
      <c r="I78" s="8" t="s">
        <v>182</v>
      </c>
      <c r="J78" s="8" t="s">
        <v>25</v>
      </c>
      <c r="K78" s="8">
        <v>951.41</v>
      </c>
      <c r="L78" s="11">
        <v>951.41</v>
      </c>
      <c r="M78" s="8" t="s">
        <v>66</v>
      </c>
      <c r="N78" s="8" t="s">
        <v>13</v>
      </c>
      <c r="O78" s="8" t="s">
        <v>312</v>
      </c>
      <c r="P78" t="s">
        <v>28</v>
      </c>
      <c r="Q78" t="s">
        <v>20</v>
      </c>
      <c r="R78" t="s">
        <v>28</v>
      </c>
    </row>
    <row r="79" spans="1:18">
      <c r="A79" s="38">
        <v>45172</v>
      </c>
      <c r="B79" s="8" t="s">
        <v>308</v>
      </c>
      <c r="C79" s="8" t="s">
        <v>140</v>
      </c>
      <c r="D79" s="8" t="s">
        <v>20</v>
      </c>
      <c r="E79" s="8" t="s">
        <v>32</v>
      </c>
      <c r="F79" s="13">
        <v>5.59166666666667</v>
      </c>
      <c r="G79" s="8" t="s">
        <v>313</v>
      </c>
      <c r="H79" s="8" t="s">
        <v>314</v>
      </c>
      <c r="I79" s="8" t="s">
        <v>200</v>
      </c>
      <c r="J79" s="8" t="s">
        <v>201</v>
      </c>
      <c r="K79" s="8">
        <v>760</v>
      </c>
      <c r="L79" s="11">
        <v>760</v>
      </c>
      <c r="M79" s="8" t="s">
        <v>75</v>
      </c>
      <c r="N79" s="8" t="s">
        <v>13</v>
      </c>
      <c r="O79" s="8" t="s">
        <v>315</v>
      </c>
      <c r="P79" t="s">
        <v>28</v>
      </c>
      <c r="Q79" t="s">
        <v>151</v>
      </c>
      <c r="R79" t="s">
        <v>28</v>
      </c>
    </row>
    <row r="80" spans="1:18">
      <c r="A80" s="38">
        <v>45261</v>
      </c>
      <c r="B80" s="8" t="s">
        <v>316</v>
      </c>
      <c r="C80" s="8" t="s">
        <v>148</v>
      </c>
      <c r="D80" s="8" t="s">
        <v>57</v>
      </c>
      <c r="E80" s="8" t="s">
        <v>32</v>
      </c>
      <c r="F80" s="10">
        <v>5.83</v>
      </c>
      <c r="G80" s="8" t="s">
        <v>317</v>
      </c>
      <c r="H80" s="8" t="s">
        <v>86</v>
      </c>
      <c r="I80" s="8" t="s">
        <v>87</v>
      </c>
      <c r="J80" s="8" t="s">
        <v>88</v>
      </c>
      <c r="K80" s="8">
        <v>931.04</v>
      </c>
      <c r="L80" s="11">
        <v>931.04</v>
      </c>
      <c r="M80" s="8" t="s">
        <v>66</v>
      </c>
      <c r="N80" s="8" t="s">
        <v>13</v>
      </c>
      <c r="O80" s="8" t="s">
        <v>318</v>
      </c>
      <c r="P80" t="s">
        <v>140</v>
      </c>
      <c r="Q80" t="s">
        <v>20</v>
      </c>
      <c r="R80" t="s">
        <v>54</v>
      </c>
    </row>
    <row r="81" spans="1:18">
      <c r="A81" s="38">
        <v>45444</v>
      </c>
      <c r="B81" s="8" t="s">
        <v>319</v>
      </c>
      <c r="C81" s="8" t="s">
        <v>320</v>
      </c>
      <c r="D81" s="8" t="s">
        <v>20</v>
      </c>
      <c r="E81" s="8" t="s">
        <v>21</v>
      </c>
      <c r="F81" s="13">
        <v>5.31666666666667</v>
      </c>
      <c r="G81" s="8" t="s">
        <v>321</v>
      </c>
      <c r="H81" s="8" t="s">
        <v>182</v>
      </c>
      <c r="I81" s="8" t="s">
        <v>182</v>
      </c>
      <c r="J81" s="8" t="s">
        <v>25</v>
      </c>
      <c r="K81" s="8">
        <v>1900</v>
      </c>
      <c r="L81" s="11">
        <v>1900</v>
      </c>
      <c r="M81" s="8" t="s">
        <v>26</v>
      </c>
      <c r="N81" s="8" t="s">
        <v>52</v>
      </c>
      <c r="O81" s="8" t="s">
        <v>322</v>
      </c>
      <c r="P81" t="s">
        <v>320</v>
      </c>
      <c r="Q81" t="s">
        <v>20</v>
      </c>
      <c r="R81" t="s">
        <v>84</v>
      </c>
    </row>
    <row r="82" spans="1:18">
      <c r="A82" s="38">
        <v>45260</v>
      </c>
      <c r="B82" s="8" t="s">
        <v>319</v>
      </c>
      <c r="C82" s="8" t="s">
        <v>320</v>
      </c>
      <c r="D82" s="8" t="s">
        <v>20</v>
      </c>
      <c r="E82" s="8" t="s">
        <v>21</v>
      </c>
      <c r="F82" s="13">
        <v>5.86666666666667</v>
      </c>
      <c r="G82" s="8" t="s">
        <v>323</v>
      </c>
      <c r="H82" s="8" t="s">
        <v>42</v>
      </c>
      <c r="I82" s="8" t="s">
        <v>42</v>
      </c>
      <c r="J82" s="8" t="s">
        <v>25</v>
      </c>
      <c r="K82" s="8">
        <v>2000</v>
      </c>
      <c r="L82" s="11">
        <v>2000</v>
      </c>
      <c r="M82" s="8" t="s">
        <v>240</v>
      </c>
      <c r="N82" s="8" t="s">
        <v>52</v>
      </c>
      <c r="O82" s="8" t="s">
        <v>324</v>
      </c>
      <c r="P82" t="s">
        <v>95</v>
      </c>
      <c r="Q82" t="s">
        <v>20</v>
      </c>
      <c r="R82" t="s">
        <v>96</v>
      </c>
    </row>
    <row r="83" spans="1:18">
      <c r="A83" s="38">
        <v>45474</v>
      </c>
      <c r="B83" s="8" t="s">
        <v>319</v>
      </c>
      <c r="C83" s="8" t="s">
        <v>320</v>
      </c>
      <c r="D83" s="8" t="s">
        <v>20</v>
      </c>
      <c r="E83" s="8" t="s">
        <v>21</v>
      </c>
      <c r="F83" s="10">
        <v>5.15</v>
      </c>
      <c r="G83" s="8" t="s">
        <v>325</v>
      </c>
      <c r="H83" s="8" t="s">
        <v>286</v>
      </c>
      <c r="I83" s="8" t="s">
        <v>24</v>
      </c>
      <c r="J83" s="8" t="s">
        <v>25</v>
      </c>
      <c r="K83" s="8">
        <v>1678.43</v>
      </c>
      <c r="L83" s="11">
        <v>1678.43</v>
      </c>
      <c r="M83" s="8" t="s">
        <v>37</v>
      </c>
      <c r="N83" s="8" t="s">
        <v>52</v>
      </c>
      <c r="O83" s="8" t="s">
        <v>326</v>
      </c>
      <c r="P83" t="s">
        <v>95</v>
      </c>
      <c r="Q83" t="s">
        <v>20</v>
      </c>
      <c r="R83" t="s">
        <v>96</v>
      </c>
    </row>
    <row r="84" spans="1:18">
      <c r="A84" s="38">
        <v>45474</v>
      </c>
      <c r="B84" s="8" t="s">
        <v>319</v>
      </c>
      <c r="C84" s="8" t="s">
        <v>320</v>
      </c>
      <c r="D84" s="8" t="s">
        <v>20</v>
      </c>
      <c r="E84" s="8" t="s">
        <v>21</v>
      </c>
      <c r="F84" s="10">
        <v>5.5</v>
      </c>
      <c r="G84" s="8" t="s">
        <v>327</v>
      </c>
      <c r="H84" s="8" t="s">
        <v>286</v>
      </c>
      <c r="I84" s="8" t="s">
        <v>24</v>
      </c>
      <c r="J84" s="8" t="s">
        <v>25</v>
      </c>
      <c r="K84" s="8">
        <v>281.78</v>
      </c>
      <c r="L84" s="11">
        <v>281.78</v>
      </c>
      <c r="M84" s="8" t="s">
        <v>37</v>
      </c>
      <c r="N84" s="8" t="s">
        <v>52</v>
      </c>
      <c r="O84" s="8" t="s">
        <v>326</v>
      </c>
      <c r="P84" t="s">
        <v>95</v>
      </c>
      <c r="Q84" t="s">
        <v>20</v>
      </c>
      <c r="R84" t="s">
        <v>96</v>
      </c>
    </row>
    <row r="85" spans="1:18">
      <c r="A85" s="38">
        <v>45505</v>
      </c>
      <c r="B85" s="8" t="s">
        <v>319</v>
      </c>
      <c r="C85" s="8" t="s">
        <v>320</v>
      </c>
      <c r="D85" s="8" t="s">
        <v>20</v>
      </c>
      <c r="E85" s="8" t="s">
        <v>21</v>
      </c>
      <c r="F85" s="13">
        <v>5.13333333333333</v>
      </c>
      <c r="G85" s="8" t="s">
        <v>328</v>
      </c>
      <c r="H85" s="8" t="s">
        <v>42</v>
      </c>
      <c r="I85" s="8" t="s">
        <v>42</v>
      </c>
      <c r="J85" s="8" t="s">
        <v>25</v>
      </c>
      <c r="K85" s="8">
        <v>1900</v>
      </c>
      <c r="L85" s="11">
        <v>1900</v>
      </c>
      <c r="M85" s="8" t="s">
        <v>240</v>
      </c>
      <c r="N85" s="8" t="s">
        <v>13</v>
      </c>
      <c r="O85" s="8" t="s">
        <v>329</v>
      </c>
      <c r="P85" t="s">
        <v>95</v>
      </c>
      <c r="Q85" t="s">
        <v>20</v>
      </c>
      <c r="R85" t="s">
        <v>96</v>
      </c>
    </row>
    <row r="86" spans="1:18">
      <c r="A86" s="38">
        <v>45200</v>
      </c>
      <c r="B86" s="8" t="s">
        <v>319</v>
      </c>
      <c r="C86" s="8" t="s">
        <v>320</v>
      </c>
      <c r="D86" s="8" t="s">
        <v>20</v>
      </c>
      <c r="E86" s="8" t="s">
        <v>21</v>
      </c>
      <c r="F86" s="10">
        <v>5.7</v>
      </c>
      <c r="G86" s="8" t="s">
        <v>330</v>
      </c>
      <c r="H86" s="8" t="s">
        <v>331</v>
      </c>
      <c r="I86" s="8" t="s">
        <v>35</v>
      </c>
      <c r="J86" s="8" t="s">
        <v>36</v>
      </c>
      <c r="K86" s="8">
        <v>2000</v>
      </c>
      <c r="L86" s="11">
        <v>2000</v>
      </c>
      <c r="M86" s="8" t="s">
        <v>177</v>
      </c>
      <c r="N86" s="8" t="s">
        <v>52</v>
      </c>
      <c r="O86" s="8" t="s">
        <v>332</v>
      </c>
      <c r="P86" t="s">
        <v>95</v>
      </c>
      <c r="Q86" t="s">
        <v>20</v>
      </c>
      <c r="R86" t="s">
        <v>96</v>
      </c>
    </row>
    <row r="87" spans="1:18">
      <c r="A87" s="38">
        <v>45352</v>
      </c>
      <c r="B87" s="8" t="s">
        <v>319</v>
      </c>
      <c r="C87" s="8" t="s">
        <v>320</v>
      </c>
      <c r="D87" s="8" t="s">
        <v>20</v>
      </c>
      <c r="E87" s="8" t="s">
        <v>21</v>
      </c>
      <c r="F87" s="18">
        <v>5.5</v>
      </c>
      <c r="G87" s="8" t="s">
        <v>333</v>
      </c>
      <c r="H87" s="8" t="s">
        <v>155</v>
      </c>
      <c r="I87" s="8" t="s">
        <v>156</v>
      </c>
      <c r="J87" s="8" t="s">
        <v>36</v>
      </c>
      <c r="K87" s="8">
        <v>1960</v>
      </c>
      <c r="L87" s="19">
        <v>1960</v>
      </c>
      <c r="M87" s="8" t="s">
        <v>51</v>
      </c>
      <c r="N87" s="8" t="s">
        <v>13</v>
      </c>
      <c r="O87" s="8" t="s">
        <v>334</v>
      </c>
      <c r="P87" t="s">
        <v>95</v>
      </c>
      <c r="Q87" t="s">
        <v>20</v>
      </c>
      <c r="R87" t="s">
        <v>96</v>
      </c>
    </row>
    <row r="88" spans="1:18">
      <c r="A88" s="38">
        <v>45410</v>
      </c>
      <c r="B88" s="8" t="s">
        <v>319</v>
      </c>
      <c r="C88" s="8" t="s">
        <v>320</v>
      </c>
      <c r="D88" s="8" t="s">
        <v>20</v>
      </c>
      <c r="E88" s="8" t="s">
        <v>21</v>
      </c>
      <c r="F88" s="13">
        <v>5.95833333333333</v>
      </c>
      <c r="G88" s="8" t="s">
        <v>335</v>
      </c>
      <c r="H88" s="8" t="s">
        <v>159</v>
      </c>
      <c r="I88" s="8" t="s">
        <v>160</v>
      </c>
      <c r="J88" s="8" t="s">
        <v>161</v>
      </c>
      <c r="K88" s="8">
        <v>2000</v>
      </c>
      <c r="L88" s="11">
        <v>2000</v>
      </c>
      <c r="M88" s="8" t="s">
        <v>51</v>
      </c>
      <c r="N88" s="8" t="s">
        <v>13</v>
      </c>
      <c r="O88" s="8" t="s">
        <v>336</v>
      </c>
      <c r="P88" t="s">
        <v>28</v>
      </c>
      <c r="Q88" t="s">
        <v>39</v>
      </c>
      <c r="R88" t="s">
        <v>28</v>
      </c>
    </row>
    <row r="89" spans="1:18">
      <c r="A89" s="38">
        <v>45383</v>
      </c>
      <c r="B89" s="8" t="s">
        <v>319</v>
      </c>
      <c r="C89" s="8" t="s">
        <v>320</v>
      </c>
      <c r="D89" s="8" t="s">
        <v>20</v>
      </c>
      <c r="E89" s="8" t="s">
        <v>21</v>
      </c>
      <c r="F89" s="10">
        <v>5.1</v>
      </c>
      <c r="G89" s="8" t="s">
        <v>337</v>
      </c>
      <c r="H89" s="8" t="s">
        <v>269</v>
      </c>
      <c r="I89" s="8" t="s">
        <v>80</v>
      </c>
      <c r="J89" s="8" t="s">
        <v>81</v>
      </c>
      <c r="K89" s="8">
        <v>202.25</v>
      </c>
      <c r="L89" s="11">
        <v>202.25</v>
      </c>
      <c r="M89" s="8" t="s">
        <v>338</v>
      </c>
      <c r="N89" s="8" t="s">
        <v>13</v>
      </c>
      <c r="O89" s="8" t="s">
        <v>339</v>
      </c>
      <c r="P89" t="s">
        <v>28</v>
      </c>
      <c r="Q89" t="s">
        <v>340</v>
      </c>
      <c r="R89" t="s">
        <v>28</v>
      </c>
    </row>
    <row r="90" spans="1:18">
      <c r="A90" s="38">
        <v>44621</v>
      </c>
      <c r="B90" s="8" t="s">
        <v>341</v>
      </c>
      <c r="C90" s="8" t="s">
        <v>30</v>
      </c>
      <c r="D90" s="8" t="s">
        <v>31</v>
      </c>
      <c r="E90" s="8" t="s">
        <v>32</v>
      </c>
      <c r="F90" s="10">
        <v>9.71</v>
      </c>
      <c r="G90" s="8" t="s">
        <v>342</v>
      </c>
      <c r="H90" s="8" t="s">
        <v>343</v>
      </c>
      <c r="I90" s="8" t="s">
        <v>99</v>
      </c>
      <c r="J90" s="8" t="s">
        <v>100</v>
      </c>
      <c r="K90" s="8">
        <v>170.08030919</v>
      </c>
      <c r="L90" s="11">
        <v>170.08030919</v>
      </c>
      <c r="M90" s="8" t="s">
        <v>245</v>
      </c>
      <c r="N90" s="8" t="s">
        <v>13</v>
      </c>
      <c r="O90" s="8" t="s">
        <v>53</v>
      </c>
      <c r="P90" t="s">
        <v>30</v>
      </c>
      <c r="Q90" t="s">
        <v>31</v>
      </c>
      <c r="R90" t="s">
        <v>54</v>
      </c>
    </row>
    <row r="91" spans="1:18">
      <c r="A91" s="38">
        <v>44827</v>
      </c>
      <c r="B91" s="8" t="s">
        <v>344</v>
      </c>
      <c r="C91" s="8" t="s">
        <v>140</v>
      </c>
      <c r="D91" s="8" t="s">
        <v>20</v>
      </c>
      <c r="E91" s="8" t="s">
        <v>32</v>
      </c>
      <c r="F91" s="13">
        <v>10.5416666666667</v>
      </c>
      <c r="G91" s="8" t="s">
        <v>345</v>
      </c>
      <c r="H91" s="8" t="s">
        <v>165</v>
      </c>
      <c r="I91" s="8" t="s">
        <v>165</v>
      </c>
      <c r="J91" s="8" t="s">
        <v>50</v>
      </c>
      <c r="K91" s="8">
        <v>230</v>
      </c>
      <c r="L91" s="11">
        <v>230</v>
      </c>
      <c r="M91" s="8" t="s">
        <v>43</v>
      </c>
      <c r="N91" s="8" t="s">
        <v>13</v>
      </c>
      <c r="O91" s="8" t="s">
        <v>346</v>
      </c>
      <c r="P91" t="s">
        <v>140</v>
      </c>
      <c r="Q91" t="s">
        <v>20</v>
      </c>
      <c r="R91" t="s">
        <v>54</v>
      </c>
    </row>
    <row r="92" spans="1:18">
      <c r="A92" s="38">
        <v>45078</v>
      </c>
      <c r="B92" s="8" t="s">
        <v>347</v>
      </c>
      <c r="C92" s="8" t="s">
        <v>56</v>
      </c>
      <c r="D92" s="8" t="s">
        <v>20</v>
      </c>
      <c r="E92" s="8" t="s">
        <v>21</v>
      </c>
      <c r="F92" s="10">
        <v>6.13888888888889</v>
      </c>
      <c r="G92" s="8" t="s">
        <v>348</v>
      </c>
      <c r="H92" s="8" t="s">
        <v>165</v>
      </c>
      <c r="I92" s="8" t="s">
        <v>165</v>
      </c>
      <c r="J92" s="8" t="s">
        <v>50</v>
      </c>
      <c r="K92" s="8">
        <v>593</v>
      </c>
      <c r="L92" s="11">
        <v>593</v>
      </c>
      <c r="M92" s="8" t="s">
        <v>66</v>
      </c>
      <c r="N92" s="8" t="s">
        <v>13</v>
      </c>
      <c r="O92" s="8" t="s">
        <v>349</v>
      </c>
      <c r="P92" t="s">
        <v>320</v>
      </c>
      <c r="Q92" t="s">
        <v>20</v>
      </c>
      <c r="R92" t="s">
        <v>84</v>
      </c>
    </row>
    <row r="93" spans="1:18">
      <c r="A93" s="38">
        <v>45292</v>
      </c>
      <c r="B93" s="8" t="s">
        <v>168</v>
      </c>
      <c r="C93" s="8" t="s">
        <v>169</v>
      </c>
      <c r="D93" s="8" t="s">
        <v>111</v>
      </c>
      <c r="E93" s="8" t="s">
        <v>21</v>
      </c>
      <c r="F93" s="13">
        <v>4.125</v>
      </c>
      <c r="G93" s="8" t="s">
        <v>350</v>
      </c>
      <c r="H93" s="8" t="s">
        <v>171</v>
      </c>
      <c r="I93" s="8" t="s">
        <v>171</v>
      </c>
      <c r="J93" s="8" t="s">
        <v>50</v>
      </c>
      <c r="K93" s="8">
        <v>555</v>
      </c>
      <c r="L93" s="11">
        <v>555</v>
      </c>
      <c r="M93" s="8" t="s">
        <v>51</v>
      </c>
      <c r="N93" s="8" t="s">
        <v>13</v>
      </c>
      <c r="O93" s="8" t="s">
        <v>351</v>
      </c>
      <c r="P93" t="s">
        <v>28</v>
      </c>
      <c r="Q93" t="s">
        <v>352</v>
      </c>
      <c r="R93" t="s">
        <v>28</v>
      </c>
    </row>
    <row r="94" spans="1:18">
      <c r="A94" s="38">
        <v>45352</v>
      </c>
      <c r="B94" s="8" t="s">
        <v>353</v>
      </c>
      <c r="C94" s="8" t="s">
        <v>140</v>
      </c>
      <c r="D94" s="8" t="s">
        <v>20</v>
      </c>
      <c r="E94" s="8" t="s">
        <v>32</v>
      </c>
      <c r="F94" s="18">
        <v>9.16666666666667</v>
      </c>
      <c r="G94" s="8" t="s">
        <v>354</v>
      </c>
      <c r="H94" s="8" t="s">
        <v>155</v>
      </c>
      <c r="I94" s="8" t="s">
        <v>156</v>
      </c>
      <c r="J94" s="8" t="s">
        <v>36</v>
      </c>
      <c r="K94" s="8">
        <v>2100</v>
      </c>
      <c r="L94" s="19">
        <v>2100</v>
      </c>
      <c r="M94" s="8" t="s">
        <v>51</v>
      </c>
      <c r="N94" s="8" t="s">
        <v>13</v>
      </c>
      <c r="O94" s="8" t="s">
        <v>355</v>
      </c>
      <c r="P94" t="s">
        <v>28</v>
      </c>
      <c r="Q94" t="s">
        <v>39</v>
      </c>
      <c r="R94" t="s">
        <v>28</v>
      </c>
    </row>
    <row r="95" spans="1:18">
      <c r="A95" s="38">
        <v>45261</v>
      </c>
      <c r="B95" s="8" t="s">
        <v>356</v>
      </c>
      <c r="C95" s="8" t="s">
        <v>95</v>
      </c>
      <c r="D95" s="8" t="s">
        <v>20</v>
      </c>
      <c r="E95" s="8" t="s">
        <v>32</v>
      </c>
      <c r="F95" s="14">
        <v>7.5</v>
      </c>
      <c r="G95" s="8" t="s">
        <v>357</v>
      </c>
      <c r="H95" s="8" t="s">
        <v>59</v>
      </c>
      <c r="I95" s="8" t="s">
        <v>59</v>
      </c>
      <c r="J95" s="8" t="s">
        <v>25</v>
      </c>
      <c r="K95" s="8">
        <v>118</v>
      </c>
      <c r="L95" s="11">
        <v>118</v>
      </c>
      <c r="M95" s="8" t="s">
        <v>66</v>
      </c>
      <c r="N95" s="8" t="s">
        <v>52</v>
      </c>
      <c r="O95" s="8" t="s">
        <v>310</v>
      </c>
      <c r="P95" t="s">
        <v>140</v>
      </c>
      <c r="Q95" t="s">
        <v>20</v>
      </c>
      <c r="R95" t="s">
        <v>54</v>
      </c>
    </row>
    <row r="96" spans="1:18">
      <c r="A96" s="38">
        <v>45383</v>
      </c>
      <c r="B96" s="8" t="s">
        <v>358</v>
      </c>
      <c r="C96" s="8" t="s">
        <v>169</v>
      </c>
      <c r="D96" s="8" t="s">
        <v>111</v>
      </c>
      <c r="E96" s="8" t="s">
        <v>21</v>
      </c>
      <c r="F96" s="10">
        <v>3.37777777777778</v>
      </c>
      <c r="G96" s="8" t="s">
        <v>359</v>
      </c>
      <c r="H96" s="8" t="s">
        <v>360</v>
      </c>
      <c r="I96" s="8" t="s">
        <v>99</v>
      </c>
      <c r="J96" s="8" t="s">
        <v>100</v>
      </c>
      <c r="K96" s="8">
        <v>2700</v>
      </c>
      <c r="L96" s="11">
        <v>2700</v>
      </c>
      <c r="M96" s="8" t="s">
        <v>51</v>
      </c>
      <c r="N96" s="8" t="s">
        <v>13</v>
      </c>
      <c r="O96" s="8" t="s">
        <v>361</v>
      </c>
      <c r="P96" t="s">
        <v>169</v>
      </c>
      <c r="Q96" t="s">
        <v>111</v>
      </c>
      <c r="R96" t="s">
        <v>84</v>
      </c>
    </row>
    <row r="97" spans="1:18">
      <c r="A97" s="38">
        <v>45383</v>
      </c>
      <c r="B97" s="8" t="s">
        <v>358</v>
      </c>
      <c r="C97" s="8" t="s">
        <v>169</v>
      </c>
      <c r="D97" s="8" t="s">
        <v>111</v>
      </c>
      <c r="E97" s="8" t="s">
        <v>21</v>
      </c>
      <c r="F97" s="13">
        <v>4.125</v>
      </c>
      <c r="G97" s="8" t="s">
        <v>362</v>
      </c>
      <c r="H97" s="8" t="s">
        <v>175</v>
      </c>
      <c r="I97" s="8" t="s">
        <v>176</v>
      </c>
      <c r="J97" s="8" t="s">
        <v>100</v>
      </c>
      <c r="K97" s="8">
        <v>1200</v>
      </c>
      <c r="L97" s="11">
        <v>1200</v>
      </c>
      <c r="M97" s="8" t="s">
        <v>26</v>
      </c>
      <c r="N97" s="8" t="s">
        <v>13</v>
      </c>
      <c r="O97" s="8" t="s">
        <v>363</v>
      </c>
      <c r="P97" t="s">
        <v>28</v>
      </c>
      <c r="Q97" t="s">
        <v>111</v>
      </c>
    </row>
    <row r="98" spans="1:18">
      <c r="A98" s="38">
        <v>45384</v>
      </c>
      <c r="B98" s="8" t="s">
        <v>358</v>
      </c>
      <c r="C98" s="8" t="s">
        <v>169</v>
      </c>
      <c r="D98" s="8" t="s">
        <v>111</v>
      </c>
      <c r="E98" s="8" t="s">
        <v>21</v>
      </c>
      <c r="F98" s="13">
        <v>3.66666666666667</v>
      </c>
      <c r="G98" s="8" t="s">
        <v>364</v>
      </c>
      <c r="H98" s="8" t="s">
        <v>98</v>
      </c>
      <c r="I98" s="8" t="s">
        <v>99</v>
      </c>
      <c r="J98" s="8" t="s">
        <v>100</v>
      </c>
      <c r="K98" s="8">
        <v>1200</v>
      </c>
      <c r="L98" s="11">
        <v>1200</v>
      </c>
      <c r="M98" s="8" t="s">
        <v>26</v>
      </c>
      <c r="N98" s="8" t="s">
        <v>13</v>
      </c>
      <c r="O98" s="8" t="s">
        <v>363</v>
      </c>
      <c r="P98" t="s">
        <v>28</v>
      </c>
      <c r="Q98" t="s">
        <v>111</v>
      </c>
    </row>
    <row r="99" spans="1:18">
      <c r="A99" s="38">
        <v>45047</v>
      </c>
      <c r="B99" s="8" t="s">
        <v>365</v>
      </c>
      <c r="C99" s="8" t="s">
        <v>169</v>
      </c>
      <c r="D99" s="8" t="s">
        <v>111</v>
      </c>
      <c r="E99" s="8" t="s">
        <v>21</v>
      </c>
      <c r="F99" s="13">
        <v>4.125</v>
      </c>
      <c r="G99" s="8" t="s">
        <v>366</v>
      </c>
      <c r="H99" s="8" t="s">
        <v>367</v>
      </c>
      <c r="I99" s="8" t="s">
        <v>368</v>
      </c>
      <c r="J99" s="8" t="s">
        <v>88</v>
      </c>
      <c r="K99" s="8">
        <v>1500</v>
      </c>
      <c r="L99" s="11">
        <v>1500</v>
      </c>
      <c r="M99" s="8" t="s">
        <v>26</v>
      </c>
      <c r="N99" s="8" t="s">
        <v>13</v>
      </c>
      <c r="O99" s="8" t="s">
        <v>369</v>
      </c>
      <c r="P99" t="s">
        <v>169</v>
      </c>
      <c r="Q99" t="s">
        <v>111</v>
      </c>
      <c r="R99" t="s">
        <v>84</v>
      </c>
    </row>
    <row r="100" spans="1:18">
      <c r="A100" s="38">
        <v>45108</v>
      </c>
      <c r="B100" s="8" t="s">
        <v>370</v>
      </c>
      <c r="C100" s="8" t="s">
        <v>140</v>
      </c>
      <c r="D100" s="8" t="s">
        <v>20</v>
      </c>
      <c r="E100" s="8" t="s">
        <v>32</v>
      </c>
      <c r="F100" s="10">
        <v>7.36666666666667</v>
      </c>
      <c r="G100" s="8" t="s">
        <v>371</v>
      </c>
      <c r="H100" s="8" t="s">
        <v>165</v>
      </c>
      <c r="I100" s="8" t="s">
        <v>165</v>
      </c>
      <c r="J100" s="8" t="s">
        <v>50</v>
      </c>
      <c r="K100" s="8">
        <v>2763.2</v>
      </c>
      <c r="L100" s="11">
        <v>2763.2</v>
      </c>
      <c r="M100" s="8" t="s">
        <v>51</v>
      </c>
      <c r="N100" s="8" t="s">
        <v>13</v>
      </c>
      <c r="O100" s="8" t="s">
        <v>372</v>
      </c>
      <c r="P100" t="s">
        <v>140</v>
      </c>
      <c r="Q100" t="s">
        <v>20</v>
      </c>
      <c r="R100" t="s">
        <v>54</v>
      </c>
    </row>
    <row r="101" spans="1:18">
      <c r="A101" s="38">
        <v>44896</v>
      </c>
      <c r="B101" s="8" t="s">
        <v>373</v>
      </c>
      <c r="C101" s="8" t="s">
        <v>179</v>
      </c>
      <c r="D101" s="8" t="s">
        <v>68</v>
      </c>
      <c r="E101" s="8" t="s">
        <v>32</v>
      </c>
      <c r="F101" s="13">
        <v>6.50833333333333</v>
      </c>
      <c r="G101" s="8" t="s">
        <v>374</v>
      </c>
      <c r="H101" s="8" t="s">
        <v>74</v>
      </c>
      <c r="I101" s="8" t="s">
        <v>74</v>
      </c>
      <c r="J101" s="8" t="s">
        <v>50</v>
      </c>
      <c r="K101" s="8">
        <v>570</v>
      </c>
      <c r="L101" s="11">
        <v>570</v>
      </c>
      <c r="M101" s="8" t="s">
        <v>51</v>
      </c>
      <c r="N101" s="8" t="s">
        <v>13</v>
      </c>
      <c r="O101" s="8" t="s">
        <v>375</v>
      </c>
      <c r="P101" t="s">
        <v>179</v>
      </c>
      <c r="Q101" t="s">
        <v>68</v>
      </c>
      <c r="R101" t="s">
        <v>96</v>
      </c>
    </row>
    <row r="102" spans="1:18">
      <c r="A102" s="38">
        <v>45300</v>
      </c>
      <c r="B102" s="8" t="s">
        <v>365</v>
      </c>
      <c r="C102" s="8" t="s">
        <v>169</v>
      </c>
      <c r="D102" s="8" t="s">
        <v>111</v>
      </c>
      <c r="E102" s="8" t="s">
        <v>21</v>
      </c>
      <c r="F102" s="13">
        <v>4.125</v>
      </c>
      <c r="G102" s="8" t="s">
        <v>376</v>
      </c>
      <c r="H102" s="8" t="s">
        <v>377</v>
      </c>
      <c r="I102" s="8" t="s">
        <v>378</v>
      </c>
      <c r="J102" s="8" t="s">
        <v>88</v>
      </c>
      <c r="K102" s="8">
        <v>23000</v>
      </c>
      <c r="L102" s="11">
        <v>23000</v>
      </c>
      <c r="M102" s="8" t="s">
        <v>43</v>
      </c>
      <c r="N102" s="8" t="s">
        <v>13</v>
      </c>
      <c r="O102" s="8" t="s">
        <v>379</v>
      </c>
      <c r="P102" t="s">
        <v>28</v>
      </c>
      <c r="Q102" t="s">
        <v>111</v>
      </c>
      <c r="R102" t="s">
        <v>28</v>
      </c>
    </row>
    <row r="103" spans="1:18">
      <c r="A103" s="38">
        <v>44958</v>
      </c>
      <c r="B103" s="8" t="s">
        <v>380</v>
      </c>
      <c r="C103" s="8" t="s">
        <v>47</v>
      </c>
      <c r="D103" s="8" t="s">
        <v>20</v>
      </c>
      <c r="E103" s="8" t="s">
        <v>21</v>
      </c>
      <c r="F103" s="10">
        <v>7.66666666666667</v>
      </c>
      <c r="G103" s="8" t="s">
        <v>381</v>
      </c>
      <c r="H103" s="8" t="s">
        <v>165</v>
      </c>
      <c r="I103" s="8" t="s">
        <v>165</v>
      </c>
      <c r="J103" s="8" t="s">
        <v>50</v>
      </c>
      <c r="K103" s="8">
        <v>481.4</v>
      </c>
      <c r="L103" s="11">
        <v>481.4</v>
      </c>
      <c r="M103" s="8" t="s">
        <v>245</v>
      </c>
      <c r="N103" s="8" t="s">
        <v>52</v>
      </c>
      <c r="O103" s="8" t="s">
        <v>145</v>
      </c>
      <c r="P103" t="s">
        <v>140</v>
      </c>
      <c r="Q103" t="s">
        <v>20</v>
      </c>
      <c r="R103" t="s">
        <v>54</v>
      </c>
    </row>
    <row r="104" spans="1:18">
      <c r="A104" s="38">
        <v>45412</v>
      </c>
      <c r="B104" s="8" t="s">
        <v>365</v>
      </c>
      <c r="C104" s="8" t="s">
        <v>169</v>
      </c>
      <c r="D104" s="8" t="s">
        <v>111</v>
      </c>
      <c r="E104" s="8" t="s">
        <v>21</v>
      </c>
      <c r="F104" s="13">
        <v>3.66666666666667</v>
      </c>
      <c r="G104" s="8" t="s">
        <v>382</v>
      </c>
      <c r="H104" s="8" t="s">
        <v>383</v>
      </c>
      <c r="I104" s="8" t="s">
        <v>384</v>
      </c>
      <c r="J104" s="8" t="s">
        <v>385</v>
      </c>
      <c r="K104" s="8">
        <v>11000</v>
      </c>
      <c r="L104" s="11">
        <v>11000</v>
      </c>
      <c r="M104" s="8" t="s">
        <v>51</v>
      </c>
      <c r="N104" s="8" t="s">
        <v>13</v>
      </c>
      <c r="O104" s="8" t="s">
        <v>386</v>
      </c>
      <c r="P104" t="s">
        <v>28</v>
      </c>
      <c r="Q104" t="s">
        <v>120</v>
      </c>
      <c r="R104" t="s">
        <v>28</v>
      </c>
    </row>
    <row r="105" spans="1:18">
      <c r="A105" s="38">
        <v>44866</v>
      </c>
      <c r="B105" s="8" t="s">
        <v>387</v>
      </c>
      <c r="C105" s="8" t="s">
        <v>234</v>
      </c>
      <c r="D105" s="8" t="s">
        <v>235</v>
      </c>
      <c r="E105" s="8" t="s">
        <v>21</v>
      </c>
      <c r="F105" s="10">
        <v>8.17</v>
      </c>
      <c r="G105" s="8" t="s">
        <v>388</v>
      </c>
      <c r="H105" s="8" t="s">
        <v>291</v>
      </c>
      <c r="I105" s="8" t="s">
        <v>87</v>
      </c>
      <c r="J105" s="8" t="s">
        <v>88</v>
      </c>
      <c r="K105" s="8">
        <v>2332.55</v>
      </c>
      <c r="L105" s="11">
        <v>2332.55</v>
      </c>
      <c r="M105" s="8" t="s">
        <v>43</v>
      </c>
      <c r="N105" s="8" t="s">
        <v>52</v>
      </c>
      <c r="O105" s="8" t="s">
        <v>389</v>
      </c>
      <c r="P105" t="s">
        <v>234</v>
      </c>
      <c r="Q105" t="s">
        <v>31</v>
      </c>
      <c r="R105" t="s">
        <v>45</v>
      </c>
    </row>
    <row r="106" spans="1:18">
      <c r="A106" s="38">
        <v>45170</v>
      </c>
      <c r="B106" s="8" t="s">
        <v>221</v>
      </c>
      <c r="C106" s="8" t="s">
        <v>140</v>
      </c>
      <c r="D106" s="8" t="s">
        <v>20</v>
      </c>
      <c r="E106" s="8" t="s">
        <v>32</v>
      </c>
      <c r="F106" s="13">
        <v>10.5416666666667</v>
      </c>
      <c r="G106" s="8" t="s">
        <v>390</v>
      </c>
      <c r="H106" s="8" t="s">
        <v>165</v>
      </c>
      <c r="I106" s="8" t="s">
        <v>165</v>
      </c>
      <c r="J106" s="8" t="s">
        <v>50</v>
      </c>
      <c r="K106" s="8">
        <v>400</v>
      </c>
      <c r="L106" s="11">
        <v>400</v>
      </c>
      <c r="M106" s="8" t="s">
        <v>51</v>
      </c>
      <c r="N106" s="8" t="s">
        <v>13</v>
      </c>
      <c r="O106" s="8" t="s">
        <v>391</v>
      </c>
      <c r="P106" t="s">
        <v>140</v>
      </c>
      <c r="Q106" t="s">
        <v>20</v>
      </c>
      <c r="R106" t="s">
        <v>54</v>
      </c>
    </row>
    <row r="107" spans="1:18">
      <c r="A107" s="38">
        <v>45383</v>
      </c>
      <c r="B107" s="8" t="s">
        <v>392</v>
      </c>
      <c r="C107" s="8" t="s">
        <v>122</v>
      </c>
      <c r="D107" s="8" t="s">
        <v>123</v>
      </c>
      <c r="E107" s="8" t="s">
        <v>32</v>
      </c>
      <c r="F107" s="10">
        <v>6.51666666666667</v>
      </c>
      <c r="G107" s="8" t="s">
        <v>393</v>
      </c>
      <c r="H107" s="8" t="s">
        <v>394</v>
      </c>
      <c r="I107" s="8" t="s">
        <v>378</v>
      </c>
      <c r="J107" s="8" t="s">
        <v>88</v>
      </c>
      <c r="K107" s="8">
        <v>1100</v>
      </c>
      <c r="L107" s="11">
        <v>1100</v>
      </c>
      <c r="M107" s="8" t="s">
        <v>177</v>
      </c>
      <c r="N107" s="8" t="s">
        <v>13</v>
      </c>
      <c r="O107" s="8" t="s">
        <v>395</v>
      </c>
      <c r="P107" t="s">
        <v>28</v>
      </c>
      <c r="Q107" t="s">
        <v>340</v>
      </c>
      <c r="R107" t="s">
        <v>28</v>
      </c>
    </row>
    <row r="108" spans="1:18">
      <c r="A108" s="38">
        <v>45383</v>
      </c>
      <c r="B108" s="8" t="s">
        <v>396</v>
      </c>
      <c r="C108" s="8" t="s">
        <v>397</v>
      </c>
      <c r="D108" s="8" t="s">
        <v>188</v>
      </c>
      <c r="E108" s="8" t="s">
        <v>21</v>
      </c>
      <c r="F108" s="13">
        <v>5.5</v>
      </c>
      <c r="G108" s="8" t="s">
        <v>398</v>
      </c>
      <c r="H108" s="8" t="s">
        <v>142</v>
      </c>
      <c r="I108" s="8" t="s">
        <v>142</v>
      </c>
      <c r="J108" s="8" t="s">
        <v>25</v>
      </c>
      <c r="K108" s="8">
        <v>13000</v>
      </c>
      <c r="L108" s="11">
        <v>13000</v>
      </c>
      <c r="M108" s="8" t="s">
        <v>26</v>
      </c>
      <c r="N108" s="8" t="s">
        <v>52</v>
      </c>
      <c r="O108" s="8" t="s">
        <v>399</v>
      </c>
      <c r="P108" t="s">
        <v>230</v>
      </c>
      <c r="Q108" t="s">
        <v>68</v>
      </c>
      <c r="R108" t="s">
        <v>96</v>
      </c>
    </row>
    <row r="109" spans="1:18">
      <c r="A109" s="38">
        <v>45444</v>
      </c>
      <c r="B109" s="8" t="s">
        <v>396</v>
      </c>
      <c r="C109" s="8" t="s">
        <v>397</v>
      </c>
      <c r="D109" s="8" t="s">
        <v>188</v>
      </c>
      <c r="E109" s="8" t="s">
        <v>21</v>
      </c>
      <c r="F109" s="13">
        <v>5.59166666666667</v>
      </c>
      <c r="G109" s="8" t="s">
        <v>400</v>
      </c>
      <c r="H109" s="8" t="s">
        <v>109</v>
      </c>
      <c r="I109" s="8" t="s">
        <v>87</v>
      </c>
      <c r="J109" s="8" t="s">
        <v>88</v>
      </c>
      <c r="K109" s="8">
        <v>1083</v>
      </c>
      <c r="L109" s="11">
        <v>1083</v>
      </c>
      <c r="M109" s="8" t="s">
        <v>26</v>
      </c>
      <c r="N109" s="8" t="s">
        <v>13</v>
      </c>
      <c r="O109" s="8" t="s">
        <v>401</v>
      </c>
      <c r="P109" t="s">
        <v>402</v>
      </c>
      <c r="Q109" t="s">
        <v>134</v>
      </c>
      <c r="R109" t="s">
        <v>45</v>
      </c>
    </row>
    <row r="110" spans="1:18">
      <c r="A110" s="38">
        <v>45092</v>
      </c>
      <c r="B110" s="8" t="s">
        <v>403</v>
      </c>
      <c r="C110" s="8" t="s">
        <v>234</v>
      </c>
      <c r="D110" s="8" t="s">
        <v>235</v>
      </c>
      <c r="E110" s="8" t="s">
        <v>21</v>
      </c>
      <c r="F110" s="13">
        <v>5.5</v>
      </c>
      <c r="G110" s="8" t="s">
        <v>404</v>
      </c>
      <c r="H110" s="8" t="s">
        <v>405</v>
      </c>
      <c r="I110" s="8" t="s">
        <v>406</v>
      </c>
      <c r="J110" s="8" t="s">
        <v>407</v>
      </c>
      <c r="K110" s="8">
        <v>1068</v>
      </c>
      <c r="L110" s="11">
        <v>1068</v>
      </c>
      <c r="M110" s="8" t="s">
        <v>43</v>
      </c>
      <c r="N110" s="8" t="s">
        <v>13</v>
      </c>
      <c r="O110" s="8" t="s">
        <v>408</v>
      </c>
      <c r="P110" t="s">
        <v>234</v>
      </c>
      <c r="Q110" t="s">
        <v>31</v>
      </c>
      <c r="R110" t="s">
        <v>45</v>
      </c>
    </row>
    <row r="111" spans="1:18">
      <c r="A111" s="38">
        <v>45047</v>
      </c>
      <c r="B111" s="8" t="s">
        <v>403</v>
      </c>
      <c r="C111" s="8" t="s">
        <v>234</v>
      </c>
      <c r="D111" s="8" t="s">
        <v>235</v>
      </c>
      <c r="E111" s="8" t="s">
        <v>21</v>
      </c>
      <c r="F111" s="10">
        <v>5.425</v>
      </c>
      <c r="G111" s="8" t="s">
        <v>409</v>
      </c>
      <c r="H111" s="8" t="s">
        <v>103</v>
      </c>
      <c r="I111" s="8" t="s">
        <v>104</v>
      </c>
      <c r="J111" s="8" t="s">
        <v>105</v>
      </c>
      <c r="K111" s="8">
        <v>1371.69</v>
      </c>
      <c r="L111" s="11">
        <v>1371.69</v>
      </c>
      <c r="M111" s="8" t="s">
        <v>245</v>
      </c>
      <c r="N111" s="8" t="s">
        <v>13</v>
      </c>
      <c r="O111" s="8" t="s">
        <v>410</v>
      </c>
      <c r="P111" t="s">
        <v>234</v>
      </c>
      <c r="Q111" t="s">
        <v>31</v>
      </c>
      <c r="R111" t="s">
        <v>45</v>
      </c>
    </row>
    <row r="112" spans="1:18">
      <c r="A112" s="38">
        <v>45217</v>
      </c>
      <c r="B112" s="8" t="s">
        <v>403</v>
      </c>
      <c r="C112" s="8" t="s">
        <v>234</v>
      </c>
      <c r="D112" s="8" t="s">
        <v>235</v>
      </c>
      <c r="E112" s="8" t="s">
        <v>21</v>
      </c>
      <c r="F112" s="13">
        <v>5.5</v>
      </c>
      <c r="G112" s="8" t="s">
        <v>411</v>
      </c>
      <c r="H112" s="8" t="s">
        <v>103</v>
      </c>
      <c r="I112" s="8" t="s">
        <v>104</v>
      </c>
      <c r="J112" s="8" t="s">
        <v>105</v>
      </c>
      <c r="K112" s="8">
        <v>590</v>
      </c>
      <c r="L112" s="11">
        <v>590</v>
      </c>
      <c r="M112" s="8" t="s">
        <v>43</v>
      </c>
      <c r="N112" s="8" t="s">
        <v>13</v>
      </c>
      <c r="O112" s="8" t="s">
        <v>412</v>
      </c>
      <c r="P112" t="s">
        <v>28</v>
      </c>
      <c r="Q112" t="s">
        <v>31</v>
      </c>
      <c r="R112" t="s">
        <v>28</v>
      </c>
    </row>
    <row r="113" spans="1:18">
      <c r="A113" s="38">
        <v>45490</v>
      </c>
      <c r="B113" s="8" t="s">
        <v>403</v>
      </c>
      <c r="C113" s="8" t="s">
        <v>234</v>
      </c>
      <c r="D113" s="8" t="s">
        <v>235</v>
      </c>
      <c r="E113" s="8" t="s">
        <v>21</v>
      </c>
      <c r="F113" s="13">
        <v>4.58333333333333</v>
      </c>
      <c r="G113" s="8" t="s">
        <v>413</v>
      </c>
      <c r="H113" s="8" t="s">
        <v>182</v>
      </c>
      <c r="I113" s="8" t="s">
        <v>182</v>
      </c>
      <c r="J113" s="8" t="s">
        <v>25</v>
      </c>
      <c r="K113" s="8">
        <v>4500</v>
      </c>
      <c r="L113" s="11">
        <v>4500</v>
      </c>
      <c r="M113" s="8" t="s">
        <v>43</v>
      </c>
      <c r="N113" s="8" t="s">
        <v>13</v>
      </c>
      <c r="O113" s="8" t="s">
        <v>414</v>
      </c>
      <c r="P113" t="s">
        <v>234</v>
      </c>
      <c r="Q113" t="s">
        <v>31</v>
      </c>
      <c r="R113" t="s">
        <v>45</v>
      </c>
    </row>
    <row r="114" spans="1:18">
      <c r="A114" s="38">
        <v>45300</v>
      </c>
      <c r="B114" s="8" t="s">
        <v>403</v>
      </c>
      <c r="C114" s="8" t="s">
        <v>234</v>
      </c>
      <c r="D114" s="8" t="s">
        <v>235</v>
      </c>
      <c r="E114" s="8" t="s">
        <v>21</v>
      </c>
      <c r="F114" s="13">
        <v>4.58333333333333</v>
      </c>
      <c r="G114" s="8" t="s">
        <v>415</v>
      </c>
      <c r="H114" s="8" t="s">
        <v>109</v>
      </c>
      <c r="I114" s="8" t="s">
        <v>87</v>
      </c>
      <c r="J114" s="8" t="s">
        <v>88</v>
      </c>
      <c r="K114" s="8">
        <v>1200</v>
      </c>
      <c r="L114" s="11">
        <v>1200</v>
      </c>
      <c r="M114" s="8" t="s">
        <v>75</v>
      </c>
      <c r="N114" s="8" t="s">
        <v>13</v>
      </c>
      <c r="O114" s="8" t="s">
        <v>416</v>
      </c>
      <c r="P114" t="s">
        <v>417</v>
      </c>
      <c r="Q114" t="s">
        <v>31</v>
      </c>
      <c r="R114" t="s">
        <v>62</v>
      </c>
    </row>
    <row r="115" spans="1:18">
      <c r="A115" s="38">
        <v>45434</v>
      </c>
      <c r="B115" s="8" t="s">
        <v>403</v>
      </c>
      <c r="C115" s="8" t="s">
        <v>234</v>
      </c>
      <c r="D115" s="8" t="s">
        <v>235</v>
      </c>
      <c r="E115" s="8" t="s">
        <v>21</v>
      </c>
      <c r="F115" s="13">
        <v>4.76666666666667</v>
      </c>
      <c r="G115" s="8" t="s">
        <v>418</v>
      </c>
      <c r="H115" s="8" t="s">
        <v>109</v>
      </c>
      <c r="I115" s="8" t="s">
        <v>87</v>
      </c>
      <c r="J115" s="8" t="s">
        <v>88</v>
      </c>
      <c r="K115" s="8">
        <v>592</v>
      </c>
      <c r="L115" s="11">
        <v>592</v>
      </c>
      <c r="M115" s="8" t="s">
        <v>51</v>
      </c>
      <c r="N115" s="8" t="s">
        <v>52</v>
      </c>
      <c r="O115" s="8" t="s">
        <v>419</v>
      </c>
      <c r="P115" t="s">
        <v>420</v>
      </c>
      <c r="Q115" t="s">
        <v>39</v>
      </c>
      <c r="R115" t="s">
        <v>96</v>
      </c>
    </row>
    <row r="116" spans="1:18">
      <c r="A116" s="38">
        <v>45047</v>
      </c>
      <c r="B116" s="8" t="s">
        <v>403</v>
      </c>
      <c r="C116" s="8" t="s">
        <v>234</v>
      </c>
      <c r="D116" s="8" t="s">
        <v>235</v>
      </c>
      <c r="E116" s="8" t="s">
        <v>21</v>
      </c>
      <c r="F116" s="14">
        <v>4.9</v>
      </c>
      <c r="G116" s="8" t="s">
        <v>421</v>
      </c>
      <c r="H116" s="8" t="s">
        <v>367</v>
      </c>
      <c r="I116" s="8" t="s">
        <v>368</v>
      </c>
      <c r="J116" s="8" t="s">
        <v>88</v>
      </c>
      <c r="K116" s="8">
        <v>1080</v>
      </c>
      <c r="L116" s="11">
        <v>1080</v>
      </c>
      <c r="M116" s="8" t="s">
        <v>66</v>
      </c>
      <c r="N116" s="8" t="s">
        <v>13</v>
      </c>
      <c r="O116" s="8" t="s">
        <v>422</v>
      </c>
      <c r="P116" t="s">
        <v>28</v>
      </c>
      <c r="Q116" t="s">
        <v>352</v>
      </c>
      <c r="R116" t="s">
        <v>28</v>
      </c>
    </row>
    <row r="117" spans="1:18">
      <c r="A117" s="38">
        <v>44818</v>
      </c>
      <c r="B117" s="8" t="s">
        <v>423</v>
      </c>
      <c r="C117" s="8" t="s">
        <v>265</v>
      </c>
      <c r="D117" s="8" t="s">
        <v>235</v>
      </c>
      <c r="E117" s="8" t="s">
        <v>21</v>
      </c>
      <c r="F117" s="13">
        <v>5.04166666666667</v>
      </c>
      <c r="G117" s="8" t="s">
        <v>424</v>
      </c>
      <c r="H117" s="8" t="s">
        <v>425</v>
      </c>
      <c r="I117" s="8" t="s">
        <v>406</v>
      </c>
      <c r="J117" s="8" t="s">
        <v>407</v>
      </c>
      <c r="K117" s="8">
        <v>2100</v>
      </c>
      <c r="L117" s="11">
        <v>2100</v>
      </c>
      <c r="M117" s="8" t="s">
        <v>66</v>
      </c>
      <c r="N117" s="8" t="s">
        <v>13</v>
      </c>
      <c r="O117" s="8" t="s">
        <v>426</v>
      </c>
      <c r="P117" t="s">
        <v>265</v>
      </c>
      <c r="Q117" t="s">
        <v>31</v>
      </c>
      <c r="R117" t="s">
        <v>84</v>
      </c>
    </row>
    <row r="118" spans="1:18">
      <c r="A118" s="38">
        <v>44658</v>
      </c>
      <c r="B118" s="8" t="s">
        <v>423</v>
      </c>
      <c r="C118" s="8" t="s">
        <v>265</v>
      </c>
      <c r="D118" s="8" t="s">
        <v>235</v>
      </c>
      <c r="E118" s="8" t="s">
        <v>21</v>
      </c>
      <c r="F118" s="10">
        <v>5.8</v>
      </c>
      <c r="G118" s="8" t="s">
        <v>427</v>
      </c>
      <c r="H118" s="8" t="s">
        <v>343</v>
      </c>
      <c r="I118" s="8" t="s">
        <v>99</v>
      </c>
      <c r="J118" s="8" t="s">
        <v>100</v>
      </c>
      <c r="K118" s="8">
        <v>810.9</v>
      </c>
      <c r="L118" s="11">
        <v>810.9</v>
      </c>
      <c r="M118" s="8" t="s">
        <v>66</v>
      </c>
      <c r="N118" s="8" t="s">
        <v>13</v>
      </c>
      <c r="O118" s="8" t="s">
        <v>428</v>
      </c>
      <c r="P118" t="s">
        <v>28</v>
      </c>
      <c r="Q118" t="s">
        <v>31</v>
      </c>
      <c r="R118" t="s">
        <v>28</v>
      </c>
    </row>
    <row r="119" spans="1:18">
      <c r="A119" s="38">
        <v>44713</v>
      </c>
      <c r="B119" s="8" t="s">
        <v>423</v>
      </c>
      <c r="C119" s="8" t="s">
        <v>265</v>
      </c>
      <c r="D119" s="8" t="s">
        <v>235</v>
      </c>
      <c r="E119" s="8" t="s">
        <v>21</v>
      </c>
      <c r="F119" s="10">
        <v>5.225</v>
      </c>
      <c r="G119" s="8" t="s">
        <v>429</v>
      </c>
      <c r="H119" s="8" t="s">
        <v>430</v>
      </c>
      <c r="I119" s="8" t="s">
        <v>430</v>
      </c>
      <c r="J119" s="8" t="s">
        <v>88</v>
      </c>
      <c r="K119" s="8">
        <v>1291</v>
      </c>
      <c r="L119" s="11">
        <v>1291</v>
      </c>
      <c r="M119" s="8" t="s">
        <v>66</v>
      </c>
      <c r="N119" s="8" t="s">
        <v>13</v>
      </c>
      <c r="O119" s="8" t="s">
        <v>431</v>
      </c>
      <c r="P119" t="s">
        <v>265</v>
      </c>
      <c r="Q119" t="s">
        <v>31</v>
      </c>
      <c r="R119" t="s">
        <v>84</v>
      </c>
    </row>
    <row r="120" spans="1:18">
      <c r="A120" s="38">
        <v>44835</v>
      </c>
      <c r="B120" s="8" t="s">
        <v>423</v>
      </c>
      <c r="C120" s="8" t="s">
        <v>265</v>
      </c>
      <c r="D120" s="8" t="s">
        <v>235</v>
      </c>
      <c r="E120" s="8" t="s">
        <v>21</v>
      </c>
      <c r="F120" s="10">
        <v>5.95833333333333</v>
      </c>
      <c r="G120" s="8" t="s">
        <v>432</v>
      </c>
      <c r="H120" s="8" t="s">
        <v>291</v>
      </c>
      <c r="I120" s="8" t="s">
        <v>87</v>
      </c>
      <c r="J120" s="8" t="s">
        <v>88</v>
      </c>
      <c r="K120" s="8">
        <v>1650</v>
      </c>
      <c r="L120" s="11">
        <v>1650</v>
      </c>
      <c r="M120" s="8" t="s">
        <v>66</v>
      </c>
      <c r="N120" s="8" t="s">
        <v>13</v>
      </c>
      <c r="O120" s="8" t="s">
        <v>433</v>
      </c>
      <c r="P120" t="s">
        <v>95</v>
      </c>
      <c r="Q120" t="s">
        <v>20</v>
      </c>
      <c r="R120" t="s">
        <v>96</v>
      </c>
    </row>
    <row r="121" spans="1:18">
      <c r="A121" s="38">
        <v>45413</v>
      </c>
      <c r="B121" s="8" t="s">
        <v>434</v>
      </c>
      <c r="C121" s="8" t="s">
        <v>122</v>
      </c>
      <c r="D121" s="8" t="s">
        <v>123</v>
      </c>
      <c r="E121" s="8" t="s">
        <v>32</v>
      </c>
      <c r="F121" s="10">
        <v>10.5416666666667</v>
      </c>
      <c r="G121" s="8" t="s">
        <v>435</v>
      </c>
      <c r="H121" s="8" t="s">
        <v>23</v>
      </c>
      <c r="I121" s="8" t="s">
        <v>24</v>
      </c>
      <c r="J121" s="8" t="s">
        <v>25</v>
      </c>
      <c r="K121" s="8">
        <v>156.85</v>
      </c>
      <c r="L121" s="11">
        <v>156.85</v>
      </c>
      <c r="M121" s="8" t="s">
        <v>37</v>
      </c>
      <c r="N121" s="8" t="s">
        <v>52</v>
      </c>
      <c r="O121" s="8" t="s">
        <v>436</v>
      </c>
      <c r="P121" t="s">
        <v>179</v>
      </c>
      <c r="Q121" t="s">
        <v>68</v>
      </c>
      <c r="R121" t="s">
        <v>96</v>
      </c>
    </row>
    <row r="122" spans="1:18">
      <c r="A122" s="38">
        <v>45495</v>
      </c>
      <c r="B122" s="8" t="s">
        <v>437</v>
      </c>
      <c r="C122" s="8" t="s">
        <v>140</v>
      </c>
      <c r="D122" s="8" t="s">
        <v>20</v>
      </c>
      <c r="E122" s="8" t="s">
        <v>32</v>
      </c>
      <c r="F122" s="13">
        <v>5.5</v>
      </c>
      <c r="G122" s="8" t="s">
        <v>438</v>
      </c>
      <c r="H122" s="8" t="s">
        <v>165</v>
      </c>
      <c r="I122" s="8" t="s">
        <v>165</v>
      </c>
      <c r="J122" s="8" t="s">
        <v>50</v>
      </c>
      <c r="K122" s="8">
        <v>1000</v>
      </c>
      <c r="L122" s="11">
        <v>1000</v>
      </c>
      <c r="M122" s="8" t="s">
        <v>26</v>
      </c>
      <c r="N122" s="8" t="s">
        <v>13</v>
      </c>
      <c r="O122" s="8" t="s">
        <v>439</v>
      </c>
      <c r="P122" t="s">
        <v>140</v>
      </c>
      <c r="Q122" t="s">
        <v>20</v>
      </c>
      <c r="R122" t="s">
        <v>54</v>
      </c>
    </row>
    <row r="123" spans="1:18">
      <c r="A123" s="38">
        <v>44896</v>
      </c>
      <c r="B123" s="8" t="s">
        <v>434</v>
      </c>
      <c r="C123" s="8" t="s">
        <v>122</v>
      </c>
      <c r="D123" s="8" t="s">
        <v>123</v>
      </c>
      <c r="E123" s="8" t="s">
        <v>32</v>
      </c>
      <c r="F123" s="13">
        <v>11.4583333333333</v>
      </c>
      <c r="G123" s="8" t="s">
        <v>440</v>
      </c>
      <c r="H123" s="8" t="s">
        <v>79</v>
      </c>
      <c r="I123" s="8" t="s">
        <v>80</v>
      </c>
      <c r="J123" s="8" t="s">
        <v>81</v>
      </c>
      <c r="K123" s="8">
        <v>276</v>
      </c>
      <c r="L123" s="11">
        <v>276</v>
      </c>
      <c r="M123" s="8" t="s">
        <v>51</v>
      </c>
      <c r="N123" s="8" t="s">
        <v>13</v>
      </c>
      <c r="O123" s="8" t="s">
        <v>441</v>
      </c>
      <c r="P123" t="s">
        <v>28</v>
      </c>
      <c r="Q123" t="s">
        <v>151</v>
      </c>
      <c r="R123" t="s">
        <v>28</v>
      </c>
    </row>
    <row r="124" spans="1:18">
      <c r="A124" s="38">
        <v>44986</v>
      </c>
      <c r="B124" s="8" t="s">
        <v>442</v>
      </c>
      <c r="C124" s="8" t="s">
        <v>30</v>
      </c>
      <c r="D124" s="8" t="s">
        <v>31</v>
      </c>
      <c r="E124" s="8" t="s">
        <v>32</v>
      </c>
      <c r="F124" s="13">
        <v>10.5416666666667</v>
      </c>
      <c r="G124" s="8" t="s">
        <v>443</v>
      </c>
      <c r="H124" s="8" t="s">
        <v>444</v>
      </c>
      <c r="I124" s="8" t="s">
        <v>200</v>
      </c>
      <c r="J124" s="8" t="s">
        <v>201</v>
      </c>
      <c r="K124" s="8">
        <v>2100</v>
      </c>
      <c r="L124" s="11">
        <v>2100</v>
      </c>
      <c r="M124" s="8" t="s">
        <v>43</v>
      </c>
      <c r="N124" s="8" t="s">
        <v>52</v>
      </c>
      <c r="O124" s="8" t="s">
        <v>445</v>
      </c>
      <c r="P124" t="s">
        <v>30</v>
      </c>
      <c r="Q124" t="s">
        <v>31</v>
      </c>
      <c r="R124" t="s">
        <v>54</v>
      </c>
    </row>
    <row r="125" spans="1:18">
      <c r="A125" s="38">
        <v>45078</v>
      </c>
      <c r="B125" s="8" t="s">
        <v>442</v>
      </c>
      <c r="C125" s="8" t="s">
        <v>30</v>
      </c>
      <c r="D125" s="8" t="s">
        <v>31</v>
      </c>
      <c r="E125" s="8" t="s">
        <v>32</v>
      </c>
      <c r="F125" s="13">
        <v>12.375</v>
      </c>
      <c r="G125" s="8" t="s">
        <v>446</v>
      </c>
      <c r="H125" s="8" t="s">
        <v>447</v>
      </c>
      <c r="I125" s="8" t="s">
        <v>176</v>
      </c>
      <c r="J125" s="8" t="s">
        <v>100</v>
      </c>
      <c r="K125" s="8">
        <v>256</v>
      </c>
      <c r="L125" s="11">
        <v>256</v>
      </c>
      <c r="M125" s="8" t="s">
        <v>51</v>
      </c>
      <c r="N125" s="8" t="s">
        <v>52</v>
      </c>
      <c r="O125" s="8" t="s">
        <v>448</v>
      </c>
      <c r="P125" t="s">
        <v>30</v>
      </c>
      <c r="Q125" t="s">
        <v>31</v>
      </c>
      <c r="R125" t="s">
        <v>54</v>
      </c>
    </row>
    <row r="126" spans="1:18">
      <c r="A126" s="38">
        <v>45352</v>
      </c>
      <c r="B126" s="8" t="s">
        <v>442</v>
      </c>
      <c r="C126" s="8" t="s">
        <v>30</v>
      </c>
      <c r="D126" s="8" t="s">
        <v>31</v>
      </c>
      <c r="E126" s="8" t="s">
        <v>32</v>
      </c>
      <c r="F126" s="10">
        <v>8.02777777777778</v>
      </c>
      <c r="G126" s="8" t="s">
        <v>449</v>
      </c>
      <c r="H126" s="8" t="s">
        <v>199</v>
      </c>
      <c r="I126" s="8" t="s">
        <v>200</v>
      </c>
      <c r="J126" s="8" t="s">
        <v>201</v>
      </c>
      <c r="K126" s="8">
        <v>475</v>
      </c>
      <c r="L126" s="11">
        <v>475</v>
      </c>
      <c r="M126" s="8" t="s">
        <v>43</v>
      </c>
      <c r="N126" s="8" t="s">
        <v>13</v>
      </c>
      <c r="O126" s="8" t="s">
        <v>450</v>
      </c>
      <c r="P126" t="s">
        <v>30</v>
      </c>
      <c r="Q126" t="s">
        <v>31</v>
      </c>
      <c r="R126" t="s">
        <v>54</v>
      </c>
    </row>
    <row r="127" spans="1:18">
      <c r="A127" s="38">
        <v>45139</v>
      </c>
      <c r="B127" s="8" t="s">
        <v>442</v>
      </c>
      <c r="C127" s="8" t="s">
        <v>30</v>
      </c>
      <c r="D127" s="8" t="s">
        <v>31</v>
      </c>
      <c r="E127" s="8" t="s">
        <v>32</v>
      </c>
      <c r="F127" s="13">
        <v>10.5416666666667</v>
      </c>
      <c r="G127" s="8" t="s">
        <v>451</v>
      </c>
      <c r="H127" s="8" t="s">
        <v>314</v>
      </c>
      <c r="I127" s="8" t="s">
        <v>200</v>
      </c>
      <c r="J127" s="8" t="s">
        <v>201</v>
      </c>
      <c r="K127" s="8">
        <v>430</v>
      </c>
      <c r="L127" s="11">
        <v>430</v>
      </c>
      <c r="M127" s="8" t="s">
        <v>51</v>
      </c>
      <c r="N127" s="8" t="s">
        <v>13</v>
      </c>
      <c r="O127" s="8" t="s">
        <v>450</v>
      </c>
      <c r="P127" t="s">
        <v>30</v>
      </c>
      <c r="Q127" t="s">
        <v>31</v>
      </c>
      <c r="R127" t="s">
        <v>54</v>
      </c>
    </row>
    <row r="128" spans="1:18">
      <c r="A128" s="38">
        <v>44835</v>
      </c>
      <c r="B128" s="8" t="s">
        <v>442</v>
      </c>
      <c r="C128" s="8" t="s">
        <v>30</v>
      </c>
      <c r="D128" s="8" t="s">
        <v>31</v>
      </c>
      <c r="E128" s="8" t="s">
        <v>32</v>
      </c>
      <c r="F128" s="10">
        <v>11.9791666666667</v>
      </c>
      <c r="G128" s="8" t="s">
        <v>452</v>
      </c>
      <c r="H128" s="8" t="s">
        <v>103</v>
      </c>
      <c r="I128" s="8" t="s">
        <v>104</v>
      </c>
      <c r="J128" s="8" t="s">
        <v>105</v>
      </c>
      <c r="K128" s="8">
        <v>431.98</v>
      </c>
      <c r="L128" s="11">
        <v>431.98</v>
      </c>
      <c r="M128" s="8" t="s">
        <v>43</v>
      </c>
      <c r="N128" s="8" t="s">
        <v>13</v>
      </c>
      <c r="O128" s="8" t="s">
        <v>453</v>
      </c>
      <c r="P128" t="s">
        <v>28</v>
      </c>
      <c r="Q128" t="s">
        <v>39</v>
      </c>
      <c r="R128" t="s">
        <v>28</v>
      </c>
    </row>
    <row r="129" spans="1:18">
      <c r="A129" s="38">
        <v>45413</v>
      </c>
      <c r="B129" s="8" t="s">
        <v>442</v>
      </c>
      <c r="C129" s="8" t="s">
        <v>30</v>
      </c>
      <c r="D129" s="8" t="s">
        <v>31</v>
      </c>
      <c r="E129" s="8" t="s">
        <v>32</v>
      </c>
      <c r="F129" s="13">
        <v>7.79166666666667</v>
      </c>
      <c r="G129" s="8" t="s">
        <v>454</v>
      </c>
      <c r="H129" s="8" t="s">
        <v>98</v>
      </c>
      <c r="I129" s="8" t="s">
        <v>99</v>
      </c>
      <c r="J129" s="8" t="s">
        <v>100</v>
      </c>
      <c r="K129" s="8">
        <v>2000</v>
      </c>
      <c r="L129" s="11">
        <v>2000</v>
      </c>
      <c r="M129" s="8" t="s">
        <v>43</v>
      </c>
      <c r="N129" s="8" t="s">
        <v>52</v>
      </c>
      <c r="O129" s="8" t="s">
        <v>455</v>
      </c>
      <c r="P129" t="s">
        <v>30</v>
      </c>
      <c r="Q129" t="s">
        <v>31</v>
      </c>
      <c r="R129" t="s">
        <v>54</v>
      </c>
    </row>
    <row r="130" spans="1:18">
      <c r="A130" s="38">
        <v>44734</v>
      </c>
      <c r="B130" s="8" t="s">
        <v>442</v>
      </c>
      <c r="C130" s="8" t="s">
        <v>30</v>
      </c>
      <c r="D130" s="8" t="s">
        <v>31</v>
      </c>
      <c r="E130" s="8" t="s">
        <v>32</v>
      </c>
      <c r="F130" s="13">
        <v>10.5416666666667</v>
      </c>
      <c r="G130" s="8" t="s">
        <v>456</v>
      </c>
      <c r="H130" s="8" t="s">
        <v>457</v>
      </c>
      <c r="I130" s="8" t="s">
        <v>200</v>
      </c>
      <c r="J130" s="8" t="s">
        <v>201</v>
      </c>
      <c r="K130" s="8">
        <v>2000</v>
      </c>
      <c r="L130" s="11">
        <v>2000</v>
      </c>
      <c r="M130" s="8" t="s">
        <v>66</v>
      </c>
      <c r="N130" s="8" t="s">
        <v>13</v>
      </c>
      <c r="O130" s="8" t="s">
        <v>458</v>
      </c>
      <c r="P130" t="s">
        <v>192</v>
      </c>
      <c r="Q130" t="s">
        <v>57</v>
      </c>
      <c r="R130" t="s">
        <v>96</v>
      </c>
    </row>
    <row r="131" spans="1:18">
      <c r="A131" s="38">
        <v>44728</v>
      </c>
      <c r="B131" s="8" t="s">
        <v>459</v>
      </c>
      <c r="C131" s="8" t="s">
        <v>140</v>
      </c>
      <c r="D131" s="8" t="s">
        <v>20</v>
      </c>
      <c r="E131" s="8" t="s">
        <v>32</v>
      </c>
      <c r="F131" s="13">
        <v>6.41666666666667</v>
      </c>
      <c r="G131" s="8" t="s">
        <v>460</v>
      </c>
      <c r="H131" s="8" t="s">
        <v>165</v>
      </c>
      <c r="I131" s="8" t="s">
        <v>165</v>
      </c>
      <c r="J131" s="8" t="s">
        <v>50</v>
      </c>
      <c r="K131" s="8">
        <v>2000</v>
      </c>
      <c r="L131" s="11">
        <v>2000</v>
      </c>
      <c r="M131" s="8" t="s">
        <v>66</v>
      </c>
      <c r="N131" s="8" t="s">
        <v>13</v>
      </c>
      <c r="O131" s="8" t="s">
        <v>461</v>
      </c>
      <c r="P131" t="s">
        <v>140</v>
      </c>
      <c r="Q131" t="s">
        <v>20</v>
      </c>
      <c r="R131" t="s">
        <v>54</v>
      </c>
    </row>
    <row r="132" spans="1:18">
      <c r="A132" s="38">
        <v>45350</v>
      </c>
      <c r="B132" s="8" t="s">
        <v>462</v>
      </c>
      <c r="C132" s="8" t="s">
        <v>463</v>
      </c>
      <c r="D132" s="8" t="s">
        <v>111</v>
      </c>
      <c r="E132" s="8" t="s">
        <v>21</v>
      </c>
      <c r="F132" s="10">
        <v>5.85555555555556</v>
      </c>
      <c r="G132" s="8" t="s">
        <v>464</v>
      </c>
      <c r="H132" s="8" t="s">
        <v>165</v>
      </c>
      <c r="I132" s="8" t="s">
        <v>165</v>
      </c>
      <c r="J132" s="8" t="s">
        <v>50</v>
      </c>
      <c r="K132" s="8">
        <v>300</v>
      </c>
      <c r="L132" s="11">
        <v>300</v>
      </c>
      <c r="M132" s="8" t="s">
        <v>66</v>
      </c>
      <c r="N132" s="8" t="s">
        <v>13</v>
      </c>
      <c r="O132" s="8" t="s">
        <v>465</v>
      </c>
      <c r="P132" t="s">
        <v>28</v>
      </c>
      <c r="Q132" t="s">
        <v>111</v>
      </c>
      <c r="R132" t="s">
        <v>28</v>
      </c>
    </row>
    <row r="133" spans="1:18">
      <c r="A133" s="38">
        <v>45292</v>
      </c>
      <c r="B133" s="8" t="s">
        <v>466</v>
      </c>
      <c r="C133" s="8" t="s">
        <v>95</v>
      </c>
      <c r="D133" s="8" t="s">
        <v>20</v>
      </c>
      <c r="E133" s="8" t="s">
        <v>32</v>
      </c>
      <c r="F133" s="10">
        <v>10.3888888888889</v>
      </c>
      <c r="G133" s="8" t="s">
        <v>467</v>
      </c>
      <c r="H133" s="8" t="s">
        <v>91</v>
      </c>
      <c r="I133" s="8" t="s">
        <v>92</v>
      </c>
      <c r="J133" s="8" t="s">
        <v>93</v>
      </c>
      <c r="K133" s="8">
        <v>900</v>
      </c>
      <c r="L133" s="11">
        <v>900</v>
      </c>
      <c r="M133" s="8" t="s">
        <v>43</v>
      </c>
      <c r="N133" s="8" t="s">
        <v>13</v>
      </c>
      <c r="O133" s="8" t="s">
        <v>94</v>
      </c>
      <c r="P133" t="s">
        <v>95</v>
      </c>
      <c r="Q133" t="s">
        <v>20</v>
      </c>
      <c r="R133" t="s">
        <v>96</v>
      </c>
    </row>
    <row r="134" spans="1:18">
      <c r="A134" s="38">
        <v>45413</v>
      </c>
      <c r="B134" s="8" t="s">
        <v>466</v>
      </c>
      <c r="C134" s="8" t="s">
        <v>95</v>
      </c>
      <c r="D134" s="8" t="s">
        <v>20</v>
      </c>
      <c r="E134" s="8" t="s">
        <v>32</v>
      </c>
      <c r="F134" s="13">
        <v>5.95833333333333</v>
      </c>
      <c r="G134" s="8" t="s">
        <v>468</v>
      </c>
      <c r="H134" s="8" t="s">
        <v>469</v>
      </c>
      <c r="I134" s="8" t="s">
        <v>470</v>
      </c>
      <c r="J134" s="8" t="s">
        <v>25</v>
      </c>
      <c r="K134" s="8">
        <v>400</v>
      </c>
      <c r="L134" s="11">
        <v>400</v>
      </c>
      <c r="M134" s="8" t="s">
        <v>240</v>
      </c>
      <c r="N134" s="8" t="s">
        <v>13</v>
      </c>
      <c r="O134" s="8" t="s">
        <v>471</v>
      </c>
      <c r="P134" t="s">
        <v>95</v>
      </c>
      <c r="Q134" t="s">
        <v>20</v>
      </c>
      <c r="R134" t="s">
        <v>96</v>
      </c>
    </row>
    <row r="135" spans="1:18">
      <c r="A135" s="38">
        <v>44713</v>
      </c>
      <c r="B135" s="8" t="s">
        <v>472</v>
      </c>
      <c r="C135" s="8" t="s">
        <v>463</v>
      </c>
      <c r="D135" s="8" t="s">
        <v>111</v>
      </c>
      <c r="E135" s="8" t="s">
        <v>21</v>
      </c>
      <c r="F135" s="13">
        <v>7.60833333333333</v>
      </c>
      <c r="G135" s="8" t="s">
        <v>473</v>
      </c>
      <c r="H135" s="8" t="s">
        <v>474</v>
      </c>
      <c r="I135" s="8" t="s">
        <v>474</v>
      </c>
      <c r="J135" s="8" t="s">
        <v>50</v>
      </c>
      <c r="K135" s="8">
        <v>680</v>
      </c>
      <c r="L135" s="11">
        <v>680</v>
      </c>
      <c r="M135" s="8" t="s">
        <v>51</v>
      </c>
      <c r="N135" s="8" t="s">
        <v>13</v>
      </c>
      <c r="O135" s="8" t="s">
        <v>475</v>
      </c>
      <c r="P135" t="s">
        <v>28</v>
      </c>
      <c r="Q135" t="s">
        <v>31</v>
      </c>
      <c r="R135" t="s">
        <v>28</v>
      </c>
    </row>
    <row r="136" spans="1:18">
      <c r="A136" s="38">
        <v>45017</v>
      </c>
      <c r="B136" s="8" t="s">
        <v>365</v>
      </c>
      <c r="C136" s="8" t="s">
        <v>169</v>
      </c>
      <c r="D136" s="8" t="s">
        <v>111</v>
      </c>
      <c r="E136" s="8" t="s">
        <v>21</v>
      </c>
      <c r="F136" s="13">
        <v>4.125</v>
      </c>
      <c r="G136" s="8" t="s">
        <v>476</v>
      </c>
      <c r="H136" s="8" t="s">
        <v>477</v>
      </c>
      <c r="I136" s="8" t="s">
        <v>477</v>
      </c>
      <c r="J136" s="8" t="s">
        <v>50</v>
      </c>
      <c r="K136" s="8">
        <v>1500</v>
      </c>
      <c r="L136" s="11">
        <v>1500</v>
      </c>
      <c r="M136" s="8" t="s">
        <v>26</v>
      </c>
      <c r="N136" s="8" t="s">
        <v>13</v>
      </c>
      <c r="O136" s="8" t="s">
        <v>478</v>
      </c>
      <c r="P136" t="s">
        <v>28</v>
      </c>
      <c r="Q136" t="s">
        <v>111</v>
      </c>
      <c r="R136" t="s">
        <v>28</v>
      </c>
    </row>
    <row r="137" spans="1:18">
      <c r="A137" s="38">
        <v>45047</v>
      </c>
      <c r="B137" s="8" t="s">
        <v>365</v>
      </c>
      <c r="C137" s="8" t="s">
        <v>169</v>
      </c>
      <c r="D137" s="8" t="s">
        <v>111</v>
      </c>
      <c r="E137" s="8" t="s">
        <v>21</v>
      </c>
      <c r="F137" s="13">
        <v>4.125</v>
      </c>
      <c r="G137" s="8" t="s">
        <v>479</v>
      </c>
      <c r="H137" s="8" t="s">
        <v>171</v>
      </c>
      <c r="I137" s="8" t="s">
        <v>171</v>
      </c>
      <c r="J137" s="8" t="s">
        <v>50</v>
      </c>
      <c r="K137" s="8">
        <v>2000</v>
      </c>
      <c r="L137" s="11">
        <v>2000</v>
      </c>
      <c r="M137" s="8" t="s">
        <v>26</v>
      </c>
      <c r="N137" s="8" t="s">
        <v>13</v>
      </c>
      <c r="O137" s="8" t="s">
        <v>478</v>
      </c>
      <c r="P137" t="s">
        <v>28</v>
      </c>
      <c r="Q137" t="s">
        <v>111</v>
      </c>
      <c r="R137" t="s">
        <v>28</v>
      </c>
    </row>
    <row r="138" spans="1:18">
      <c r="A138" s="38">
        <v>45505</v>
      </c>
      <c r="B138" s="8" t="s">
        <v>466</v>
      </c>
      <c r="C138" s="8" t="s">
        <v>95</v>
      </c>
      <c r="D138" s="8" t="s">
        <v>20</v>
      </c>
      <c r="E138" s="8" t="s">
        <v>32</v>
      </c>
      <c r="F138" s="10">
        <v>5.66666666666667</v>
      </c>
      <c r="G138" s="8" t="s">
        <v>480</v>
      </c>
      <c r="H138" s="8" t="s">
        <v>481</v>
      </c>
      <c r="I138" s="8" t="s">
        <v>92</v>
      </c>
      <c r="J138" s="8" t="s">
        <v>93</v>
      </c>
      <c r="K138" s="8">
        <v>270</v>
      </c>
      <c r="L138" s="11">
        <v>270</v>
      </c>
      <c r="M138" s="8" t="s">
        <v>26</v>
      </c>
      <c r="N138" s="8" t="s">
        <v>13</v>
      </c>
      <c r="O138" s="8" t="s">
        <v>482</v>
      </c>
      <c r="P138" t="s">
        <v>28</v>
      </c>
      <c r="Q138" t="s">
        <v>57</v>
      </c>
      <c r="R138" t="s">
        <v>28</v>
      </c>
    </row>
    <row r="139" spans="1:18">
      <c r="A139" s="38">
        <v>44712</v>
      </c>
      <c r="B139" s="8" t="s">
        <v>483</v>
      </c>
      <c r="C139" s="8" t="s">
        <v>72</v>
      </c>
      <c r="D139" s="8" t="s">
        <v>39</v>
      </c>
      <c r="E139" s="8" t="s">
        <v>21</v>
      </c>
      <c r="F139" s="13">
        <v>4.58333333333333</v>
      </c>
      <c r="G139" s="8" t="s">
        <v>484</v>
      </c>
      <c r="H139" s="8" t="s">
        <v>49</v>
      </c>
      <c r="I139" s="8" t="s">
        <v>49</v>
      </c>
      <c r="J139" s="8" t="s">
        <v>50</v>
      </c>
      <c r="K139" s="8">
        <v>3800</v>
      </c>
      <c r="L139" s="11">
        <v>3800</v>
      </c>
      <c r="M139" s="8" t="s">
        <v>51</v>
      </c>
      <c r="N139" s="8" t="s">
        <v>13</v>
      </c>
      <c r="O139" s="8" t="s">
        <v>485</v>
      </c>
      <c r="P139" t="s">
        <v>140</v>
      </c>
      <c r="Q139" t="s">
        <v>20</v>
      </c>
      <c r="R139" t="s">
        <v>54</v>
      </c>
    </row>
    <row r="140" spans="1:18">
      <c r="A140" s="38">
        <v>45474</v>
      </c>
      <c r="B140" s="8" t="s">
        <v>466</v>
      </c>
      <c r="C140" s="8" t="s">
        <v>95</v>
      </c>
      <c r="D140" s="8" t="s">
        <v>20</v>
      </c>
      <c r="E140" s="8" t="s">
        <v>32</v>
      </c>
      <c r="F140" s="13">
        <v>5.95833333333333</v>
      </c>
      <c r="G140" s="8" t="s">
        <v>486</v>
      </c>
      <c r="H140" s="8" t="s">
        <v>360</v>
      </c>
      <c r="I140" s="8" t="s">
        <v>99</v>
      </c>
      <c r="J140" s="8" t="s">
        <v>100</v>
      </c>
      <c r="K140" s="8">
        <v>1300</v>
      </c>
      <c r="L140" s="11">
        <v>1300</v>
      </c>
      <c r="M140" s="8" t="s">
        <v>43</v>
      </c>
      <c r="N140" s="8" t="s">
        <v>13</v>
      </c>
      <c r="O140" s="8" t="s">
        <v>487</v>
      </c>
      <c r="P140" t="s">
        <v>28</v>
      </c>
      <c r="Q140" t="s">
        <v>20</v>
      </c>
      <c r="R140" t="s">
        <v>28</v>
      </c>
    </row>
    <row r="141" spans="1:18">
      <c r="A141" s="38">
        <v>44562</v>
      </c>
      <c r="B141" s="8" t="s">
        <v>488</v>
      </c>
      <c r="C141" s="8" t="s">
        <v>72</v>
      </c>
      <c r="D141" s="8" t="s">
        <v>39</v>
      </c>
      <c r="E141" s="8" t="s">
        <v>21</v>
      </c>
      <c r="F141" s="13">
        <v>6.23333333333333</v>
      </c>
      <c r="G141" s="8" t="s">
        <v>489</v>
      </c>
      <c r="H141" s="8" t="s">
        <v>103</v>
      </c>
      <c r="I141" s="8" t="s">
        <v>104</v>
      </c>
      <c r="J141" s="8" t="s">
        <v>105</v>
      </c>
      <c r="K141" s="8">
        <v>317</v>
      </c>
      <c r="L141" s="11">
        <v>317</v>
      </c>
      <c r="M141" s="8" t="s">
        <v>51</v>
      </c>
      <c r="N141" s="8" t="s">
        <v>52</v>
      </c>
      <c r="O141" s="8" t="s">
        <v>490</v>
      </c>
      <c r="P141" t="s">
        <v>72</v>
      </c>
      <c r="Q141" t="s">
        <v>39</v>
      </c>
      <c r="R141" t="s">
        <v>84</v>
      </c>
    </row>
    <row r="142" spans="1:18">
      <c r="A142" s="38">
        <v>45139</v>
      </c>
      <c r="B142" s="8" t="s">
        <v>168</v>
      </c>
      <c r="C142" s="8" t="s">
        <v>169</v>
      </c>
      <c r="D142" s="8" t="s">
        <v>111</v>
      </c>
      <c r="E142" s="8" t="s">
        <v>21</v>
      </c>
      <c r="F142" s="13">
        <v>4.125</v>
      </c>
      <c r="G142" s="8" t="s">
        <v>491</v>
      </c>
      <c r="H142" s="8" t="s">
        <v>86</v>
      </c>
      <c r="I142" s="8" t="s">
        <v>87</v>
      </c>
      <c r="J142" s="8" t="s">
        <v>88</v>
      </c>
      <c r="K142" s="8">
        <v>608</v>
      </c>
      <c r="L142" s="11">
        <v>608</v>
      </c>
      <c r="M142" s="8" t="s">
        <v>26</v>
      </c>
      <c r="N142" s="8" t="s">
        <v>13</v>
      </c>
      <c r="O142" s="8" t="s">
        <v>492</v>
      </c>
      <c r="P142" t="s">
        <v>28</v>
      </c>
      <c r="Q142" t="s">
        <v>111</v>
      </c>
      <c r="R142" t="s">
        <v>28</v>
      </c>
    </row>
    <row r="143" spans="1:18">
      <c r="A143" s="38">
        <v>45047</v>
      </c>
      <c r="B143" s="8" t="s">
        <v>168</v>
      </c>
      <c r="C143" s="8" t="s">
        <v>169</v>
      </c>
      <c r="D143" s="8" t="s">
        <v>111</v>
      </c>
      <c r="E143" s="8" t="s">
        <v>21</v>
      </c>
      <c r="F143" s="10">
        <v>4.65611111111111</v>
      </c>
      <c r="G143" s="8" t="s">
        <v>493</v>
      </c>
      <c r="H143" s="8" t="s">
        <v>86</v>
      </c>
      <c r="I143" s="8" t="s">
        <v>87</v>
      </c>
      <c r="J143" s="8" t="s">
        <v>88</v>
      </c>
      <c r="K143" s="8">
        <v>355.15</v>
      </c>
      <c r="L143" s="11">
        <v>355.15</v>
      </c>
      <c r="M143" s="8" t="s">
        <v>245</v>
      </c>
      <c r="N143" s="8" t="s">
        <v>13</v>
      </c>
      <c r="O143" s="8" t="s">
        <v>494</v>
      </c>
      <c r="P143" t="s">
        <v>495</v>
      </c>
      <c r="Q143" t="s">
        <v>111</v>
      </c>
      <c r="R143" t="s">
        <v>84</v>
      </c>
    </row>
    <row r="144" spans="1:18">
      <c r="A144" s="38">
        <v>45078</v>
      </c>
      <c r="B144" s="8" t="s">
        <v>496</v>
      </c>
      <c r="C144" s="8" t="s">
        <v>148</v>
      </c>
      <c r="D144" s="8" t="s">
        <v>57</v>
      </c>
      <c r="E144" s="8" t="s">
        <v>32</v>
      </c>
      <c r="F144" s="13">
        <v>6.96666666666667</v>
      </c>
      <c r="G144" s="8" t="s">
        <v>497</v>
      </c>
      <c r="H144" s="8" t="s">
        <v>74</v>
      </c>
      <c r="I144" s="8" t="s">
        <v>74</v>
      </c>
      <c r="J144" s="8" t="s">
        <v>50</v>
      </c>
      <c r="K144" s="8">
        <v>1200</v>
      </c>
      <c r="L144" s="11">
        <v>1200</v>
      </c>
      <c r="M144" s="8" t="s">
        <v>51</v>
      </c>
      <c r="N144" s="8" t="s">
        <v>52</v>
      </c>
      <c r="O144" s="8" t="s">
        <v>498</v>
      </c>
      <c r="P144" t="s">
        <v>30</v>
      </c>
      <c r="Q144" t="s">
        <v>31</v>
      </c>
      <c r="R144" t="s">
        <v>54</v>
      </c>
    </row>
    <row r="145" spans="1:18">
      <c r="A145" s="38">
        <v>45352</v>
      </c>
      <c r="B145" s="8" t="s">
        <v>168</v>
      </c>
      <c r="C145" s="8" t="s">
        <v>169</v>
      </c>
      <c r="D145" s="8" t="s">
        <v>111</v>
      </c>
      <c r="E145" s="8" t="s">
        <v>21</v>
      </c>
      <c r="F145" s="13">
        <v>4.58333333333333</v>
      </c>
      <c r="G145" s="8" t="s">
        <v>499</v>
      </c>
      <c r="H145" s="8" t="s">
        <v>500</v>
      </c>
      <c r="I145" s="8" t="s">
        <v>87</v>
      </c>
      <c r="J145" s="8" t="s">
        <v>88</v>
      </c>
      <c r="K145" s="8">
        <v>601</v>
      </c>
      <c r="L145" s="11">
        <v>601</v>
      </c>
      <c r="M145" s="8" t="s">
        <v>43</v>
      </c>
      <c r="N145" s="8" t="s">
        <v>13</v>
      </c>
      <c r="O145" s="8" t="s">
        <v>501</v>
      </c>
      <c r="P145" t="s">
        <v>28</v>
      </c>
      <c r="Q145" t="s">
        <v>111</v>
      </c>
      <c r="R145" t="s">
        <v>28</v>
      </c>
    </row>
    <row r="146" spans="1:18">
      <c r="A146" s="38">
        <v>44986</v>
      </c>
      <c r="B146" s="8" t="s">
        <v>168</v>
      </c>
      <c r="C146" s="8" t="s">
        <v>169</v>
      </c>
      <c r="D146" s="8" t="s">
        <v>111</v>
      </c>
      <c r="E146" s="8" t="s">
        <v>21</v>
      </c>
      <c r="F146" s="13">
        <v>3.66666666666667</v>
      </c>
      <c r="G146" s="8" t="s">
        <v>502</v>
      </c>
      <c r="H146" s="8" t="s">
        <v>481</v>
      </c>
      <c r="I146" s="8" t="s">
        <v>92</v>
      </c>
      <c r="J146" s="8" t="s">
        <v>93</v>
      </c>
      <c r="K146" s="8">
        <v>1800</v>
      </c>
      <c r="L146" s="11">
        <v>1800</v>
      </c>
      <c r="M146" s="8" t="s">
        <v>26</v>
      </c>
      <c r="N146" s="8" t="s">
        <v>13</v>
      </c>
      <c r="O146" s="8" t="s">
        <v>503</v>
      </c>
      <c r="P146" t="s">
        <v>28</v>
      </c>
      <c r="Q146" t="s">
        <v>111</v>
      </c>
      <c r="R146" t="s">
        <v>28</v>
      </c>
    </row>
    <row r="147" spans="1:18">
      <c r="A147" s="38">
        <v>44931</v>
      </c>
      <c r="B147" s="8" t="s">
        <v>168</v>
      </c>
      <c r="C147" s="8" t="s">
        <v>169</v>
      </c>
      <c r="D147" s="8" t="s">
        <v>111</v>
      </c>
      <c r="E147" s="8" t="s">
        <v>21</v>
      </c>
      <c r="F147" s="13">
        <v>3.94166666666667</v>
      </c>
      <c r="G147" s="8" t="s">
        <v>504</v>
      </c>
      <c r="H147" s="8" t="s">
        <v>109</v>
      </c>
      <c r="I147" s="8" t="s">
        <v>87</v>
      </c>
      <c r="J147" s="8" t="s">
        <v>88</v>
      </c>
      <c r="K147" s="8">
        <v>1271</v>
      </c>
      <c r="L147" s="11">
        <v>1271</v>
      </c>
      <c r="M147" s="8" t="s">
        <v>26</v>
      </c>
      <c r="N147" s="8" t="s">
        <v>13</v>
      </c>
      <c r="O147" s="8" t="s">
        <v>113</v>
      </c>
      <c r="P147" t="s">
        <v>28</v>
      </c>
      <c r="Q147" t="s">
        <v>111</v>
      </c>
      <c r="R147" t="s">
        <v>28</v>
      </c>
    </row>
    <row r="148" spans="1:18">
      <c r="A148" s="38">
        <v>45231</v>
      </c>
      <c r="B148" s="8" t="s">
        <v>168</v>
      </c>
      <c r="C148" s="8" t="s">
        <v>169</v>
      </c>
      <c r="D148" s="8" t="s">
        <v>111</v>
      </c>
      <c r="E148" s="8" t="s">
        <v>21</v>
      </c>
      <c r="F148" s="10">
        <v>4.12</v>
      </c>
      <c r="G148" s="8" t="s">
        <v>505</v>
      </c>
      <c r="H148" s="8" t="s">
        <v>103</v>
      </c>
      <c r="I148" s="8" t="s">
        <v>104</v>
      </c>
      <c r="J148" s="8" t="s">
        <v>105</v>
      </c>
      <c r="K148" s="8">
        <v>713.63</v>
      </c>
      <c r="L148" s="11">
        <v>713.63</v>
      </c>
      <c r="M148" s="8" t="s">
        <v>26</v>
      </c>
      <c r="N148" s="8" t="s">
        <v>13</v>
      </c>
      <c r="O148" s="8" t="s">
        <v>506</v>
      </c>
      <c r="P148" t="s">
        <v>28</v>
      </c>
      <c r="Q148" t="s">
        <v>57</v>
      </c>
      <c r="R148" t="s">
        <v>28</v>
      </c>
    </row>
    <row r="149" spans="1:18">
      <c r="A149" s="38">
        <v>45078</v>
      </c>
      <c r="B149" s="8" t="s">
        <v>168</v>
      </c>
      <c r="C149" s="8" t="s">
        <v>169</v>
      </c>
      <c r="D149" s="8" t="s">
        <v>111</v>
      </c>
      <c r="E149" s="8" t="s">
        <v>21</v>
      </c>
      <c r="F149" s="10">
        <v>3.75833333333333</v>
      </c>
      <c r="G149" s="8" t="s">
        <v>507</v>
      </c>
      <c r="H149" s="8" t="s">
        <v>405</v>
      </c>
      <c r="I149" s="8" t="s">
        <v>406</v>
      </c>
      <c r="J149" s="8" t="s">
        <v>407</v>
      </c>
      <c r="K149" s="8">
        <v>2414.56</v>
      </c>
      <c r="L149" s="11">
        <v>2414.56</v>
      </c>
      <c r="M149" s="8" t="s">
        <v>43</v>
      </c>
      <c r="N149" s="8" t="s">
        <v>13</v>
      </c>
      <c r="O149" s="8" t="s">
        <v>508</v>
      </c>
      <c r="P149" t="s">
        <v>61</v>
      </c>
      <c r="Q149" t="s">
        <v>57</v>
      </c>
      <c r="R149" t="s">
        <v>62</v>
      </c>
    </row>
    <row r="150" spans="1:18">
      <c r="A150" s="38">
        <v>45231</v>
      </c>
      <c r="B150" s="8" t="s">
        <v>168</v>
      </c>
      <c r="C150" s="8" t="s">
        <v>169</v>
      </c>
      <c r="D150" s="8" t="s">
        <v>111</v>
      </c>
      <c r="E150" s="8" t="s">
        <v>21</v>
      </c>
      <c r="F150" s="10">
        <v>4.12</v>
      </c>
      <c r="G150" s="8" t="s">
        <v>509</v>
      </c>
      <c r="J150" s="8" t="s">
        <v>100</v>
      </c>
      <c r="K150" s="8">
        <v>602.99</v>
      </c>
      <c r="L150" s="11">
        <v>602.99</v>
      </c>
      <c r="M150" s="8" t="s">
        <v>26</v>
      </c>
      <c r="N150" s="8" t="s">
        <v>13</v>
      </c>
      <c r="O150" s="8" t="s">
        <v>510</v>
      </c>
      <c r="P150" t="s">
        <v>61</v>
      </c>
      <c r="Q150" t="s">
        <v>57</v>
      </c>
      <c r="R150" t="s">
        <v>62</v>
      </c>
    </row>
    <row r="151" spans="1:18">
      <c r="A151" s="38">
        <v>45474</v>
      </c>
      <c r="B151" s="8" t="s">
        <v>511</v>
      </c>
      <c r="C151" s="8" t="s">
        <v>30</v>
      </c>
      <c r="D151" s="8" t="s">
        <v>31</v>
      </c>
      <c r="E151" s="8" t="s">
        <v>32</v>
      </c>
      <c r="F151" s="13">
        <v>8.25</v>
      </c>
      <c r="G151" s="8" t="s">
        <v>512</v>
      </c>
      <c r="H151" s="8" t="s">
        <v>165</v>
      </c>
      <c r="I151" s="8" t="s">
        <v>165</v>
      </c>
      <c r="J151" s="8" t="s">
        <v>50</v>
      </c>
      <c r="K151" s="8">
        <v>350</v>
      </c>
      <c r="L151" s="11">
        <v>350</v>
      </c>
      <c r="M151" s="8" t="s">
        <v>51</v>
      </c>
      <c r="N151" s="8" t="s">
        <v>52</v>
      </c>
      <c r="O151" s="8" t="s">
        <v>513</v>
      </c>
      <c r="P151" t="s">
        <v>140</v>
      </c>
      <c r="Q151" t="s">
        <v>20</v>
      </c>
      <c r="R151" t="s">
        <v>54</v>
      </c>
    </row>
    <row r="152" spans="1:18">
      <c r="A152" s="38">
        <v>45231</v>
      </c>
      <c r="B152" s="8" t="s">
        <v>168</v>
      </c>
      <c r="C152" s="8" t="s">
        <v>169</v>
      </c>
      <c r="D152" s="8" t="s">
        <v>111</v>
      </c>
      <c r="E152" s="8" t="s">
        <v>21</v>
      </c>
      <c r="F152" s="10">
        <v>4.71</v>
      </c>
      <c r="G152" s="8" t="s">
        <v>514</v>
      </c>
      <c r="H152" s="8" t="s">
        <v>103</v>
      </c>
      <c r="I152" s="8" t="s">
        <v>104</v>
      </c>
      <c r="J152" s="8" t="s">
        <v>105</v>
      </c>
      <c r="K152" s="8">
        <v>1023.9</v>
      </c>
      <c r="L152" s="11">
        <v>1023.9</v>
      </c>
      <c r="M152" s="8" t="s">
        <v>245</v>
      </c>
      <c r="N152" s="8" t="s">
        <v>52</v>
      </c>
      <c r="O152" s="8" t="s">
        <v>448</v>
      </c>
      <c r="P152" t="s">
        <v>30</v>
      </c>
      <c r="Q152" t="s">
        <v>31</v>
      </c>
      <c r="R152" t="s">
        <v>54</v>
      </c>
    </row>
    <row r="153" spans="1:18">
      <c r="A153" s="38">
        <v>45261</v>
      </c>
      <c r="B153" s="8" t="s">
        <v>168</v>
      </c>
      <c r="C153" s="8" t="s">
        <v>169</v>
      </c>
      <c r="D153" s="8" t="s">
        <v>111</v>
      </c>
      <c r="E153" s="8" t="s">
        <v>21</v>
      </c>
      <c r="F153" s="10">
        <v>4.18</v>
      </c>
      <c r="G153" s="8" t="s">
        <v>515</v>
      </c>
      <c r="H153" s="8" t="s">
        <v>103</v>
      </c>
      <c r="I153" s="8" t="s">
        <v>104</v>
      </c>
      <c r="J153" s="8" t="s">
        <v>105</v>
      </c>
      <c r="K153" s="8">
        <v>1023.9</v>
      </c>
      <c r="L153" s="11">
        <v>1023.9</v>
      </c>
      <c r="M153" s="8" t="s">
        <v>43</v>
      </c>
      <c r="N153" s="8" t="s">
        <v>52</v>
      </c>
      <c r="O153" s="8" t="s">
        <v>448</v>
      </c>
      <c r="P153" t="s">
        <v>30</v>
      </c>
      <c r="Q153" t="s">
        <v>31</v>
      </c>
      <c r="R153" t="s">
        <v>54</v>
      </c>
    </row>
    <row r="154" spans="1:18">
      <c r="A154" s="38">
        <v>45292</v>
      </c>
      <c r="B154" s="8" t="s">
        <v>516</v>
      </c>
      <c r="C154" s="8" t="s">
        <v>517</v>
      </c>
      <c r="D154" s="8" t="s">
        <v>235</v>
      </c>
      <c r="E154" s="8" t="s">
        <v>21</v>
      </c>
      <c r="F154" s="18" t="s">
        <v>518</v>
      </c>
      <c r="G154" s="8" t="s">
        <v>519</v>
      </c>
      <c r="H154" s="8" t="s">
        <v>165</v>
      </c>
      <c r="I154" s="8" t="s">
        <v>165</v>
      </c>
      <c r="J154" s="8" t="s">
        <v>50</v>
      </c>
      <c r="K154" s="8">
        <v>10000</v>
      </c>
      <c r="L154" s="11">
        <v>10000</v>
      </c>
      <c r="M154" s="8" t="s">
        <v>177</v>
      </c>
      <c r="N154" s="8" t="s">
        <v>13</v>
      </c>
      <c r="O154" s="8" t="s">
        <v>520</v>
      </c>
      <c r="P154" t="s">
        <v>30</v>
      </c>
      <c r="Q154" t="s">
        <v>31</v>
      </c>
      <c r="R154" t="s">
        <v>54</v>
      </c>
    </row>
    <row r="155" spans="1:18">
      <c r="A155" s="38">
        <v>45017</v>
      </c>
      <c r="B155" s="8" t="s">
        <v>168</v>
      </c>
      <c r="C155" s="8" t="s">
        <v>169</v>
      </c>
      <c r="D155" s="8" t="s">
        <v>111</v>
      </c>
      <c r="E155" s="8" t="s">
        <v>21</v>
      </c>
      <c r="F155" s="13">
        <v>3.94166666666667</v>
      </c>
      <c r="G155" s="8" t="s">
        <v>521</v>
      </c>
      <c r="H155" s="8" t="s">
        <v>239</v>
      </c>
      <c r="I155" s="8" t="s">
        <v>200</v>
      </c>
      <c r="J155" s="8" t="s">
        <v>201</v>
      </c>
      <c r="K155" s="8">
        <v>830</v>
      </c>
      <c r="L155" s="11">
        <v>830</v>
      </c>
      <c r="M155" s="8" t="s">
        <v>26</v>
      </c>
      <c r="N155" s="8" t="s">
        <v>13</v>
      </c>
      <c r="O155" s="8" t="s">
        <v>522</v>
      </c>
      <c r="P155" t="s">
        <v>523</v>
      </c>
      <c r="Q155" t="s">
        <v>151</v>
      </c>
      <c r="R155" t="s">
        <v>84</v>
      </c>
    </row>
    <row r="156" spans="1:18">
      <c r="A156" s="38">
        <v>45154</v>
      </c>
      <c r="B156" s="8" t="s">
        <v>168</v>
      </c>
      <c r="C156" s="8" t="s">
        <v>169</v>
      </c>
      <c r="D156" s="8" t="s">
        <v>111</v>
      </c>
      <c r="E156" s="8" t="s">
        <v>21</v>
      </c>
      <c r="F156" s="13">
        <v>4.58333333333333</v>
      </c>
      <c r="G156" s="8" t="s">
        <v>524</v>
      </c>
      <c r="H156" s="8" t="s">
        <v>405</v>
      </c>
      <c r="I156" s="8" t="s">
        <v>406</v>
      </c>
      <c r="J156" s="8" t="s">
        <v>407</v>
      </c>
      <c r="K156" s="8">
        <v>2160</v>
      </c>
      <c r="L156" s="11">
        <v>2160</v>
      </c>
      <c r="M156" s="8" t="s">
        <v>26</v>
      </c>
      <c r="N156" s="8" t="s">
        <v>13</v>
      </c>
      <c r="O156" s="8" t="s">
        <v>525</v>
      </c>
      <c r="P156" t="s">
        <v>28</v>
      </c>
      <c r="Q156" t="s">
        <v>68</v>
      </c>
      <c r="R156" t="s">
        <v>28</v>
      </c>
    </row>
    <row r="157" spans="1:18">
      <c r="A157" s="38">
        <v>45352</v>
      </c>
      <c r="B157" s="8" t="s">
        <v>168</v>
      </c>
      <c r="C157" s="8" t="s">
        <v>169</v>
      </c>
      <c r="D157" s="8" t="s">
        <v>111</v>
      </c>
      <c r="E157" s="8" t="s">
        <v>21</v>
      </c>
      <c r="F157" s="13">
        <v>4.125</v>
      </c>
      <c r="G157" s="8" t="s">
        <v>526</v>
      </c>
      <c r="H157" s="8" t="s">
        <v>86</v>
      </c>
      <c r="I157" s="8" t="s">
        <v>87</v>
      </c>
      <c r="J157" s="8" t="s">
        <v>88</v>
      </c>
      <c r="K157" s="8">
        <v>554</v>
      </c>
      <c r="L157" s="11">
        <v>554</v>
      </c>
      <c r="M157" s="8" t="s">
        <v>43</v>
      </c>
      <c r="N157" s="8" t="s">
        <v>13</v>
      </c>
      <c r="O157" s="8" t="s">
        <v>527</v>
      </c>
      <c r="P157" t="s">
        <v>28</v>
      </c>
      <c r="Q157" t="s">
        <v>120</v>
      </c>
      <c r="R157" t="s">
        <v>28</v>
      </c>
    </row>
    <row r="158" spans="1:18">
      <c r="A158" s="38">
        <v>45108</v>
      </c>
      <c r="B158" s="8" t="s">
        <v>168</v>
      </c>
      <c r="C158" s="8" t="s">
        <v>169</v>
      </c>
      <c r="D158" s="8" t="s">
        <v>111</v>
      </c>
      <c r="E158" s="8" t="s">
        <v>21</v>
      </c>
      <c r="F158" s="10">
        <v>3.88888888888889</v>
      </c>
      <c r="G158" s="8" t="s">
        <v>528</v>
      </c>
      <c r="H158" s="8" t="s">
        <v>529</v>
      </c>
      <c r="I158" s="8" t="s">
        <v>126</v>
      </c>
      <c r="J158" s="8" t="s">
        <v>127</v>
      </c>
      <c r="K158" s="8">
        <v>371.02</v>
      </c>
      <c r="L158" s="11">
        <v>371.02</v>
      </c>
      <c r="M158" s="8" t="s">
        <v>51</v>
      </c>
      <c r="N158" s="8" t="s">
        <v>13</v>
      </c>
      <c r="O158" s="8" t="s">
        <v>530</v>
      </c>
      <c r="P158" t="s">
        <v>28</v>
      </c>
      <c r="Q158" t="s">
        <v>271</v>
      </c>
      <c r="R158" t="s">
        <v>28</v>
      </c>
    </row>
    <row r="159" spans="1:18">
      <c r="A159" s="38">
        <v>45474</v>
      </c>
      <c r="B159" s="39" t="s">
        <v>531</v>
      </c>
      <c r="C159" s="8" t="s">
        <v>133</v>
      </c>
      <c r="D159" s="8" t="s">
        <v>134</v>
      </c>
      <c r="E159" s="8" t="s">
        <v>21</v>
      </c>
      <c r="F159" s="10">
        <v>4.5</v>
      </c>
      <c r="G159" s="8" t="s">
        <v>532</v>
      </c>
      <c r="H159" s="8" t="s">
        <v>79</v>
      </c>
      <c r="I159" s="8" t="s">
        <v>80</v>
      </c>
      <c r="J159" s="8" t="s">
        <v>81</v>
      </c>
      <c r="K159" s="8">
        <v>843.02</v>
      </c>
      <c r="L159" s="11">
        <v>843.02</v>
      </c>
      <c r="M159" s="8" t="s">
        <v>37</v>
      </c>
      <c r="N159" s="8" t="s">
        <v>52</v>
      </c>
      <c r="O159" s="8" t="s">
        <v>533</v>
      </c>
      <c r="P159" t="s">
        <v>402</v>
      </c>
      <c r="Q159" t="s">
        <v>134</v>
      </c>
      <c r="R159" t="s">
        <v>45</v>
      </c>
    </row>
    <row r="160" spans="1:18">
      <c r="A160" s="38">
        <v>45156</v>
      </c>
      <c r="B160" s="8" t="s">
        <v>534</v>
      </c>
      <c r="C160" s="8" t="s">
        <v>402</v>
      </c>
      <c r="D160" s="8" t="s">
        <v>134</v>
      </c>
      <c r="E160" s="8" t="s">
        <v>21</v>
      </c>
      <c r="F160" s="13">
        <v>4.125</v>
      </c>
      <c r="G160" s="8" t="s">
        <v>535</v>
      </c>
      <c r="H160" s="8" t="s">
        <v>59</v>
      </c>
      <c r="I160" s="8" t="s">
        <v>59</v>
      </c>
      <c r="J160" s="8" t="s">
        <v>25</v>
      </c>
      <c r="K160" s="8">
        <v>1500</v>
      </c>
      <c r="L160" s="11">
        <v>1500</v>
      </c>
      <c r="M160" s="8" t="s">
        <v>66</v>
      </c>
      <c r="N160" s="8" t="s">
        <v>52</v>
      </c>
      <c r="O160" s="8" t="s">
        <v>536</v>
      </c>
      <c r="P160" t="s">
        <v>402</v>
      </c>
      <c r="Q160" t="s">
        <v>134</v>
      </c>
      <c r="R160" t="s">
        <v>45</v>
      </c>
    </row>
    <row r="161" spans="1:18">
      <c r="A161" s="38">
        <v>44866</v>
      </c>
      <c r="B161" s="8" t="s">
        <v>537</v>
      </c>
      <c r="C161" s="8" t="s">
        <v>122</v>
      </c>
      <c r="D161" s="8" t="s">
        <v>123</v>
      </c>
      <c r="E161" s="8" t="s">
        <v>32</v>
      </c>
      <c r="F161" s="13">
        <v>9.625</v>
      </c>
      <c r="G161" s="8" t="s">
        <v>538</v>
      </c>
      <c r="H161" s="8" t="s">
        <v>539</v>
      </c>
      <c r="I161" s="8" t="s">
        <v>244</v>
      </c>
      <c r="J161" s="8" t="s">
        <v>88</v>
      </c>
      <c r="K161" s="8">
        <v>20000</v>
      </c>
      <c r="L161" s="11">
        <v>20000</v>
      </c>
      <c r="M161" s="8" t="s">
        <v>43</v>
      </c>
      <c r="N161" s="8" t="s">
        <v>13</v>
      </c>
      <c r="O161" s="8" t="s">
        <v>540</v>
      </c>
      <c r="P161" t="s">
        <v>122</v>
      </c>
      <c r="Q161" t="s">
        <v>68</v>
      </c>
      <c r="R161" t="s">
        <v>54</v>
      </c>
    </row>
    <row r="162" spans="1:18">
      <c r="A162" s="38">
        <v>45473</v>
      </c>
      <c r="B162" s="8" t="s">
        <v>537</v>
      </c>
      <c r="C162" s="8" t="s">
        <v>122</v>
      </c>
      <c r="D162" s="8" t="s">
        <v>123</v>
      </c>
      <c r="E162" s="8" t="s">
        <v>32</v>
      </c>
      <c r="F162" s="10">
        <v>8.44444444444444</v>
      </c>
      <c r="G162" s="8" t="s">
        <v>541</v>
      </c>
      <c r="H162" s="8" t="s">
        <v>103</v>
      </c>
      <c r="I162" s="8" t="s">
        <v>104</v>
      </c>
      <c r="J162" s="8" t="s">
        <v>105</v>
      </c>
      <c r="K162" s="8">
        <v>440</v>
      </c>
      <c r="L162" s="11">
        <v>440</v>
      </c>
      <c r="M162" s="8" t="s">
        <v>51</v>
      </c>
      <c r="N162" s="8" t="s">
        <v>13</v>
      </c>
      <c r="O162" s="8" t="s">
        <v>542</v>
      </c>
      <c r="P162" t="s">
        <v>122</v>
      </c>
      <c r="Q162" t="s">
        <v>68</v>
      </c>
      <c r="R162" t="s">
        <v>54</v>
      </c>
    </row>
    <row r="163" spans="1:18">
      <c r="A163" s="38">
        <v>44866</v>
      </c>
      <c r="B163" s="8" t="s">
        <v>543</v>
      </c>
      <c r="C163" s="8" t="s">
        <v>140</v>
      </c>
      <c r="D163" s="8" t="s">
        <v>20</v>
      </c>
      <c r="E163" s="8" t="s">
        <v>32</v>
      </c>
      <c r="F163" s="10">
        <v>8.2</v>
      </c>
      <c r="G163" s="8" t="s">
        <v>544</v>
      </c>
      <c r="H163" s="8" t="s">
        <v>165</v>
      </c>
      <c r="I163" s="8" t="s">
        <v>165</v>
      </c>
      <c r="J163" s="8" t="s">
        <v>50</v>
      </c>
      <c r="K163" s="8">
        <v>1090.11</v>
      </c>
      <c r="L163" s="11">
        <v>1090.11</v>
      </c>
      <c r="M163" s="8" t="s">
        <v>66</v>
      </c>
      <c r="N163" s="8" t="s">
        <v>13</v>
      </c>
      <c r="O163" s="8" t="s">
        <v>545</v>
      </c>
      <c r="P163" t="s">
        <v>30</v>
      </c>
      <c r="Q163" t="s">
        <v>31</v>
      </c>
      <c r="R163" t="s">
        <v>54</v>
      </c>
    </row>
    <row r="164" spans="1:18">
      <c r="A164" s="38">
        <v>44683</v>
      </c>
      <c r="B164" s="8" t="s">
        <v>546</v>
      </c>
      <c r="C164" s="8" t="s">
        <v>72</v>
      </c>
      <c r="D164" s="8" t="s">
        <v>39</v>
      </c>
      <c r="E164" s="8" t="s">
        <v>21</v>
      </c>
      <c r="F164" s="13">
        <v>6.69166666666667</v>
      </c>
      <c r="G164" s="8" t="s">
        <v>547</v>
      </c>
      <c r="H164" s="8" t="s">
        <v>239</v>
      </c>
      <c r="I164" s="8" t="s">
        <v>200</v>
      </c>
      <c r="J164" s="8" t="s">
        <v>201</v>
      </c>
      <c r="K164" s="8">
        <v>1256.96</v>
      </c>
      <c r="L164" s="11">
        <v>1256.96</v>
      </c>
      <c r="M164" s="8" t="s">
        <v>43</v>
      </c>
      <c r="N164" s="8" t="s">
        <v>13</v>
      </c>
      <c r="O164" s="8" t="s">
        <v>548</v>
      </c>
      <c r="P164" t="s">
        <v>28</v>
      </c>
      <c r="Q164" t="s">
        <v>39</v>
      </c>
      <c r="R164" t="s">
        <v>28</v>
      </c>
    </row>
    <row r="165" spans="1:18">
      <c r="A165" s="38">
        <v>44575</v>
      </c>
      <c r="B165" s="8" t="s">
        <v>537</v>
      </c>
      <c r="C165" s="8" t="s">
        <v>122</v>
      </c>
      <c r="D165" s="8" t="s">
        <v>123</v>
      </c>
      <c r="E165" s="8" t="s">
        <v>32</v>
      </c>
      <c r="F165" s="10">
        <v>9.2</v>
      </c>
      <c r="G165" s="8" t="s">
        <v>549</v>
      </c>
      <c r="H165" s="8" t="s">
        <v>171</v>
      </c>
      <c r="I165" s="8" t="s">
        <v>171</v>
      </c>
      <c r="J165" s="8" t="s">
        <v>50</v>
      </c>
      <c r="K165" s="8">
        <v>8000</v>
      </c>
      <c r="L165" s="11">
        <v>8000</v>
      </c>
      <c r="M165" s="8" t="s">
        <v>43</v>
      </c>
      <c r="N165" s="8" t="s">
        <v>13</v>
      </c>
      <c r="O165" s="8" t="s">
        <v>450</v>
      </c>
      <c r="P165" t="s">
        <v>30</v>
      </c>
      <c r="Q165" t="s">
        <v>31</v>
      </c>
      <c r="R165" t="s">
        <v>54</v>
      </c>
    </row>
    <row r="166" spans="1:18">
      <c r="A166" s="38">
        <v>44986</v>
      </c>
      <c r="B166" s="8" t="s">
        <v>380</v>
      </c>
      <c r="C166" s="8" t="s">
        <v>47</v>
      </c>
      <c r="D166" s="8" t="s">
        <v>20</v>
      </c>
      <c r="E166" s="8" t="s">
        <v>21</v>
      </c>
      <c r="F166" s="14">
        <v>8.4</v>
      </c>
      <c r="G166" s="8" t="s">
        <v>550</v>
      </c>
      <c r="H166" s="8" t="s">
        <v>42</v>
      </c>
      <c r="I166" s="8" t="s">
        <v>42</v>
      </c>
      <c r="J166" s="8" t="s">
        <v>25</v>
      </c>
      <c r="K166" s="8">
        <v>197.98</v>
      </c>
      <c r="L166" s="11">
        <v>197.98</v>
      </c>
      <c r="M166" s="8" t="s">
        <v>245</v>
      </c>
      <c r="N166" s="8" t="s">
        <v>13</v>
      </c>
      <c r="O166" s="8" t="s">
        <v>551</v>
      </c>
      <c r="P166" t="s">
        <v>230</v>
      </c>
      <c r="Q166" t="s">
        <v>68</v>
      </c>
      <c r="R166" t="s">
        <v>96</v>
      </c>
    </row>
    <row r="167" spans="1:18">
      <c r="A167" s="38">
        <v>45352</v>
      </c>
      <c r="B167" s="8" t="s">
        <v>163</v>
      </c>
      <c r="C167" s="8" t="s">
        <v>140</v>
      </c>
      <c r="D167" s="8" t="s">
        <v>20</v>
      </c>
      <c r="E167" s="8" t="s">
        <v>32</v>
      </c>
      <c r="F167" s="13">
        <v>9.16666666666667</v>
      </c>
      <c r="G167" s="8" t="s">
        <v>552</v>
      </c>
      <c r="H167" s="8" t="s">
        <v>165</v>
      </c>
      <c r="I167" s="8" t="s">
        <v>165</v>
      </c>
      <c r="J167" s="8" t="s">
        <v>50</v>
      </c>
      <c r="K167" s="8">
        <v>550</v>
      </c>
      <c r="L167" s="11">
        <v>550</v>
      </c>
      <c r="M167" s="8" t="s">
        <v>43</v>
      </c>
      <c r="N167" s="8" t="s">
        <v>13</v>
      </c>
      <c r="O167" s="8" t="s">
        <v>450</v>
      </c>
      <c r="P167" t="s">
        <v>30</v>
      </c>
      <c r="Q167" t="s">
        <v>31</v>
      </c>
      <c r="R167" t="s">
        <v>54</v>
      </c>
    </row>
    <row r="168" spans="1:18">
      <c r="A168" s="38">
        <v>45167</v>
      </c>
      <c r="B168" s="8" t="s">
        <v>380</v>
      </c>
      <c r="C168" s="8" t="s">
        <v>47</v>
      </c>
      <c r="D168" s="8" t="s">
        <v>20</v>
      </c>
      <c r="E168" s="8" t="s">
        <v>21</v>
      </c>
      <c r="F168" s="13">
        <v>5.5</v>
      </c>
      <c r="G168" s="8" t="s">
        <v>553</v>
      </c>
      <c r="H168" s="8" t="s">
        <v>86</v>
      </c>
      <c r="I168" s="8" t="s">
        <v>87</v>
      </c>
      <c r="J168" s="8" t="s">
        <v>88</v>
      </c>
      <c r="K168" s="8">
        <v>1500</v>
      </c>
      <c r="L168" s="11">
        <v>1500</v>
      </c>
      <c r="M168" s="8" t="s">
        <v>43</v>
      </c>
      <c r="N168" s="8" t="s">
        <v>13</v>
      </c>
      <c r="O168" s="8" t="s">
        <v>554</v>
      </c>
      <c r="P168" t="s">
        <v>320</v>
      </c>
      <c r="Q168" t="s">
        <v>20</v>
      </c>
      <c r="R168" t="s">
        <v>84</v>
      </c>
    </row>
    <row r="169" spans="1:18">
      <c r="A169" s="38">
        <v>45447</v>
      </c>
      <c r="B169" s="8" t="s">
        <v>555</v>
      </c>
      <c r="C169" s="8" t="s">
        <v>47</v>
      </c>
      <c r="D169" s="8" t="s">
        <v>20</v>
      </c>
      <c r="E169" s="8" t="s">
        <v>21</v>
      </c>
      <c r="F169" s="10">
        <v>5.95833333333333</v>
      </c>
      <c r="G169" s="8" t="s">
        <v>556</v>
      </c>
      <c r="H169" s="8" t="s">
        <v>557</v>
      </c>
      <c r="I169" s="8" t="s">
        <v>378</v>
      </c>
      <c r="J169" s="8" t="s">
        <v>88</v>
      </c>
      <c r="K169" s="8">
        <v>2000</v>
      </c>
      <c r="L169" s="11">
        <v>2000</v>
      </c>
      <c r="M169" s="8" t="s">
        <v>240</v>
      </c>
      <c r="N169" s="8" t="s">
        <v>52</v>
      </c>
      <c r="O169" s="8" t="s">
        <v>558</v>
      </c>
      <c r="P169" t="s">
        <v>30</v>
      </c>
      <c r="Q169" t="s">
        <v>31</v>
      </c>
      <c r="R169" t="s">
        <v>54</v>
      </c>
    </row>
    <row r="170" spans="1:18">
      <c r="A170" s="38">
        <v>45373</v>
      </c>
      <c r="B170" s="8" t="s">
        <v>559</v>
      </c>
      <c r="C170" s="8" t="s">
        <v>47</v>
      </c>
      <c r="D170" s="8" t="s">
        <v>20</v>
      </c>
      <c r="E170" s="8" t="s">
        <v>21</v>
      </c>
      <c r="F170" s="13">
        <v>6.41666666666667</v>
      </c>
      <c r="G170" s="8" t="s">
        <v>560</v>
      </c>
      <c r="H170" s="8" t="s">
        <v>208</v>
      </c>
      <c r="I170" s="8" t="s">
        <v>104</v>
      </c>
      <c r="J170" s="8" t="s">
        <v>105</v>
      </c>
      <c r="K170" s="8">
        <v>1500</v>
      </c>
      <c r="L170" s="11">
        <v>1500</v>
      </c>
      <c r="M170" s="8" t="s">
        <v>43</v>
      </c>
      <c r="N170" s="8" t="s">
        <v>52</v>
      </c>
      <c r="O170" s="8" t="s">
        <v>561</v>
      </c>
      <c r="P170" t="s">
        <v>140</v>
      </c>
      <c r="Q170" t="s">
        <v>20</v>
      </c>
      <c r="R170" t="s">
        <v>54</v>
      </c>
    </row>
    <row r="171" spans="1:18">
      <c r="A171" s="38">
        <v>44991</v>
      </c>
      <c r="B171" s="8" t="s">
        <v>562</v>
      </c>
      <c r="C171" s="8" t="s">
        <v>47</v>
      </c>
      <c r="D171" s="8" t="s">
        <v>20</v>
      </c>
      <c r="E171" s="8" t="s">
        <v>21</v>
      </c>
      <c r="F171" s="13">
        <v>5.86666666666667</v>
      </c>
      <c r="G171" s="8" t="s">
        <v>563</v>
      </c>
      <c r="H171" s="8" t="s">
        <v>564</v>
      </c>
      <c r="I171" s="8" t="s">
        <v>200</v>
      </c>
      <c r="J171" s="8" t="s">
        <v>201</v>
      </c>
      <c r="K171" s="8">
        <v>980</v>
      </c>
      <c r="L171" s="11">
        <v>980</v>
      </c>
      <c r="M171" s="8" t="s">
        <v>43</v>
      </c>
      <c r="N171" s="8" t="s">
        <v>13</v>
      </c>
      <c r="O171" s="8" t="s">
        <v>565</v>
      </c>
      <c r="P171" t="s">
        <v>28</v>
      </c>
      <c r="Q171" t="s">
        <v>20</v>
      </c>
      <c r="R171" t="s">
        <v>28</v>
      </c>
    </row>
    <row r="172" spans="1:18">
      <c r="A172" s="38">
        <v>45474</v>
      </c>
      <c r="B172" s="8" t="s">
        <v>566</v>
      </c>
      <c r="C172" s="8" t="s">
        <v>47</v>
      </c>
      <c r="D172" s="8" t="s">
        <v>20</v>
      </c>
      <c r="E172" s="8" t="s">
        <v>21</v>
      </c>
      <c r="F172" s="10">
        <v>6.14166666666667</v>
      </c>
      <c r="G172" s="8" t="s">
        <v>567</v>
      </c>
      <c r="H172" s="8" t="s">
        <v>23</v>
      </c>
      <c r="I172" s="8" t="s">
        <v>24</v>
      </c>
      <c r="J172" s="8" t="s">
        <v>25</v>
      </c>
      <c r="K172" s="8">
        <v>786.6</v>
      </c>
      <c r="L172" s="11">
        <v>786.6</v>
      </c>
      <c r="M172" s="8" t="s">
        <v>37</v>
      </c>
      <c r="N172" s="8" t="s">
        <v>13</v>
      </c>
      <c r="O172" s="8" t="s">
        <v>568</v>
      </c>
      <c r="P172" t="s">
        <v>47</v>
      </c>
      <c r="Q172" t="s">
        <v>20</v>
      </c>
      <c r="R172" t="s">
        <v>45</v>
      </c>
    </row>
    <row r="173" spans="1:18">
      <c r="A173" s="38">
        <v>45047</v>
      </c>
      <c r="B173" s="8" t="s">
        <v>566</v>
      </c>
      <c r="C173" s="8" t="s">
        <v>47</v>
      </c>
      <c r="D173" s="8" t="s">
        <v>20</v>
      </c>
      <c r="E173" s="8" t="s">
        <v>21</v>
      </c>
      <c r="F173" s="10">
        <v>9.99166666666667</v>
      </c>
      <c r="G173" s="8" t="s">
        <v>569</v>
      </c>
      <c r="H173" s="8" t="s">
        <v>570</v>
      </c>
      <c r="I173" s="8" t="s">
        <v>80</v>
      </c>
      <c r="J173" s="8" t="s">
        <v>81</v>
      </c>
      <c r="K173" s="8">
        <v>3652.51</v>
      </c>
      <c r="L173" s="11">
        <v>3652.51</v>
      </c>
      <c r="M173" s="8" t="s">
        <v>43</v>
      </c>
      <c r="N173" s="8" t="s">
        <v>52</v>
      </c>
      <c r="O173" s="8" t="s">
        <v>571</v>
      </c>
      <c r="P173" t="s">
        <v>420</v>
      </c>
      <c r="Q173" t="s">
        <v>39</v>
      </c>
      <c r="R173" t="s">
        <v>96</v>
      </c>
    </row>
    <row r="174" spans="1:18">
      <c r="A174" s="38">
        <v>45489</v>
      </c>
      <c r="B174" s="8" t="s">
        <v>566</v>
      </c>
      <c r="C174" s="8" t="s">
        <v>47</v>
      </c>
      <c r="D174" s="8" t="s">
        <v>20</v>
      </c>
      <c r="E174" s="8" t="s">
        <v>21</v>
      </c>
      <c r="F174" s="13">
        <v>10.0833333333333</v>
      </c>
      <c r="G174" s="8" t="s">
        <v>572</v>
      </c>
      <c r="H174" s="8" t="s">
        <v>444</v>
      </c>
      <c r="I174" s="8" t="s">
        <v>200</v>
      </c>
      <c r="J174" s="8" t="s">
        <v>201</v>
      </c>
      <c r="K174" s="8">
        <v>1000</v>
      </c>
      <c r="L174" s="11">
        <v>1000</v>
      </c>
      <c r="M174" s="8" t="s">
        <v>26</v>
      </c>
      <c r="N174" s="8" t="s">
        <v>52</v>
      </c>
      <c r="O174" s="8" t="s">
        <v>573</v>
      </c>
      <c r="P174" t="s">
        <v>276</v>
      </c>
      <c r="Q174" t="s">
        <v>39</v>
      </c>
      <c r="R174" t="s">
        <v>54</v>
      </c>
    </row>
    <row r="175" spans="1:18">
      <c r="A175" s="38">
        <v>44896</v>
      </c>
      <c r="B175" s="8" t="s">
        <v>566</v>
      </c>
      <c r="C175" s="8" t="s">
        <v>47</v>
      </c>
      <c r="D175" s="8" t="s">
        <v>20</v>
      </c>
      <c r="E175" s="8" t="s">
        <v>21</v>
      </c>
      <c r="F175" s="10">
        <v>7.61</v>
      </c>
      <c r="G175" s="8" t="s">
        <v>574</v>
      </c>
      <c r="H175" s="8" t="s">
        <v>575</v>
      </c>
      <c r="I175" s="8" t="s">
        <v>206</v>
      </c>
      <c r="J175" s="8" t="s">
        <v>88</v>
      </c>
      <c r="K175" s="8">
        <v>647.73</v>
      </c>
      <c r="L175" s="11">
        <v>647.73</v>
      </c>
      <c r="M175" s="8" t="s">
        <v>245</v>
      </c>
      <c r="N175" s="8" t="s">
        <v>13</v>
      </c>
      <c r="O175" s="8" t="s">
        <v>419</v>
      </c>
      <c r="P175" t="s">
        <v>420</v>
      </c>
      <c r="Q175" t="s">
        <v>39</v>
      </c>
      <c r="R175" t="s">
        <v>96</v>
      </c>
    </row>
    <row r="176" spans="1:18">
      <c r="A176" s="38">
        <v>44896</v>
      </c>
      <c r="B176" s="8" t="s">
        <v>566</v>
      </c>
      <c r="C176" s="8" t="s">
        <v>47</v>
      </c>
      <c r="D176" s="8" t="s">
        <v>20</v>
      </c>
      <c r="E176" s="8" t="s">
        <v>21</v>
      </c>
      <c r="F176" s="13">
        <v>6.875</v>
      </c>
      <c r="G176" s="8" t="s">
        <v>576</v>
      </c>
      <c r="H176" s="8" t="s">
        <v>577</v>
      </c>
      <c r="I176" s="8" t="s">
        <v>99</v>
      </c>
      <c r="J176" s="8" t="s">
        <v>100</v>
      </c>
      <c r="K176" s="8">
        <v>3400</v>
      </c>
      <c r="L176" s="11">
        <v>3400</v>
      </c>
      <c r="M176" s="8" t="s">
        <v>51</v>
      </c>
      <c r="N176" s="8" t="s">
        <v>13</v>
      </c>
      <c r="O176" s="8" t="s">
        <v>578</v>
      </c>
      <c r="P176" t="s">
        <v>228</v>
      </c>
      <c r="Q176" t="s">
        <v>20</v>
      </c>
      <c r="R176" t="s">
        <v>62</v>
      </c>
    </row>
    <row r="177" spans="1:18">
      <c r="A177" s="38">
        <v>44896</v>
      </c>
      <c r="B177" s="8" t="s">
        <v>579</v>
      </c>
      <c r="C177" s="8" t="s">
        <v>47</v>
      </c>
      <c r="D177" s="8" t="s">
        <v>20</v>
      </c>
      <c r="E177" s="8" t="s">
        <v>21</v>
      </c>
      <c r="F177" s="10">
        <v>5.885</v>
      </c>
      <c r="G177" s="8" t="s">
        <v>580</v>
      </c>
      <c r="H177" s="8" t="s">
        <v>447</v>
      </c>
      <c r="I177" s="8" t="s">
        <v>176</v>
      </c>
      <c r="J177" s="8" t="s">
        <v>100</v>
      </c>
      <c r="K177" s="8">
        <v>725.82</v>
      </c>
      <c r="L177" s="11">
        <v>725.82</v>
      </c>
      <c r="M177" s="8" t="s">
        <v>66</v>
      </c>
      <c r="N177" s="8" t="s">
        <v>52</v>
      </c>
      <c r="O177" s="8" t="s">
        <v>581</v>
      </c>
      <c r="P177" t="s">
        <v>64</v>
      </c>
      <c r="Q177" t="s">
        <v>20</v>
      </c>
      <c r="R177" t="s">
        <v>84</v>
      </c>
    </row>
    <row r="178" spans="1:18">
      <c r="A178" s="38">
        <v>45200</v>
      </c>
      <c r="B178" s="8" t="s">
        <v>579</v>
      </c>
      <c r="C178" s="8" t="s">
        <v>47</v>
      </c>
      <c r="D178" s="8" t="s">
        <v>20</v>
      </c>
      <c r="E178" s="8" t="s">
        <v>21</v>
      </c>
      <c r="F178" s="13">
        <v>5.31666666666667</v>
      </c>
      <c r="G178" s="8" t="s">
        <v>582</v>
      </c>
      <c r="H178" s="8" t="s">
        <v>343</v>
      </c>
      <c r="I178" s="8" t="s">
        <v>99</v>
      </c>
      <c r="J178" s="8" t="s">
        <v>100</v>
      </c>
      <c r="K178" s="8">
        <v>2800</v>
      </c>
      <c r="L178" s="11">
        <v>2800</v>
      </c>
      <c r="M178" s="8" t="s">
        <v>43</v>
      </c>
      <c r="N178" s="8" t="s">
        <v>52</v>
      </c>
      <c r="O178" s="8" t="s">
        <v>583</v>
      </c>
      <c r="P178" t="s">
        <v>95</v>
      </c>
      <c r="Q178" t="s">
        <v>20</v>
      </c>
      <c r="R178" t="s">
        <v>96</v>
      </c>
    </row>
    <row r="179" spans="1:18">
      <c r="A179" s="38">
        <v>44839</v>
      </c>
      <c r="B179" s="8" t="s">
        <v>579</v>
      </c>
      <c r="C179" s="8" t="s">
        <v>47</v>
      </c>
      <c r="D179" s="8" t="s">
        <v>20</v>
      </c>
      <c r="E179" s="8" t="s">
        <v>21</v>
      </c>
      <c r="F179" s="13">
        <v>6.41666666666667</v>
      </c>
      <c r="G179" s="8" t="s">
        <v>584</v>
      </c>
      <c r="H179" s="8" t="s">
        <v>570</v>
      </c>
      <c r="I179" s="8" t="s">
        <v>80</v>
      </c>
      <c r="J179" s="8" t="s">
        <v>81</v>
      </c>
      <c r="K179" s="8">
        <v>2800</v>
      </c>
      <c r="L179" s="11">
        <v>2800</v>
      </c>
      <c r="M179" s="8" t="s">
        <v>51</v>
      </c>
      <c r="N179" s="8" t="s">
        <v>13</v>
      </c>
      <c r="O179" s="8" t="s">
        <v>585</v>
      </c>
      <c r="P179" t="s">
        <v>28</v>
      </c>
      <c r="Q179" t="s">
        <v>68</v>
      </c>
      <c r="R179" t="s">
        <v>28</v>
      </c>
    </row>
    <row r="180" spans="1:18">
      <c r="A180" s="38">
        <v>45383</v>
      </c>
      <c r="B180" s="8" t="s">
        <v>579</v>
      </c>
      <c r="C180" s="8" t="s">
        <v>47</v>
      </c>
      <c r="D180" s="8" t="s">
        <v>20</v>
      </c>
      <c r="E180" s="8" t="s">
        <v>21</v>
      </c>
      <c r="F180" s="10">
        <v>5.5</v>
      </c>
      <c r="G180" s="8" t="s">
        <v>586</v>
      </c>
      <c r="H180" s="8" t="s">
        <v>430</v>
      </c>
      <c r="I180" s="8" t="s">
        <v>430</v>
      </c>
      <c r="J180" s="8" t="s">
        <v>88</v>
      </c>
      <c r="K180" s="8">
        <v>1400</v>
      </c>
      <c r="L180" s="11">
        <v>1400</v>
      </c>
      <c r="M180" s="8" t="s">
        <v>177</v>
      </c>
      <c r="N180" s="8" t="s">
        <v>13</v>
      </c>
      <c r="O180" s="8" t="s">
        <v>587</v>
      </c>
      <c r="P180" t="s">
        <v>107</v>
      </c>
      <c r="Q180" t="s">
        <v>20</v>
      </c>
      <c r="R180" t="s">
        <v>62</v>
      </c>
    </row>
    <row r="181" spans="1:18">
      <c r="A181" s="38">
        <v>45352</v>
      </c>
      <c r="B181" s="8" t="s">
        <v>579</v>
      </c>
      <c r="C181" s="8" t="s">
        <v>47</v>
      </c>
      <c r="D181" s="8" t="s">
        <v>20</v>
      </c>
      <c r="E181" s="8" t="s">
        <v>21</v>
      </c>
      <c r="F181" s="13">
        <v>4.125</v>
      </c>
      <c r="G181" s="8" t="s">
        <v>588</v>
      </c>
      <c r="H181" s="8" t="s">
        <v>570</v>
      </c>
      <c r="I181" s="8" t="s">
        <v>80</v>
      </c>
      <c r="J181" s="8" t="s">
        <v>81</v>
      </c>
      <c r="K181" s="8">
        <v>2200</v>
      </c>
      <c r="L181" s="11">
        <v>2200</v>
      </c>
      <c r="M181" s="8" t="s">
        <v>51</v>
      </c>
      <c r="N181" s="8" t="s">
        <v>13</v>
      </c>
      <c r="O181" s="8" t="s">
        <v>589</v>
      </c>
      <c r="P181" t="s">
        <v>28</v>
      </c>
      <c r="Q181" t="s">
        <v>20</v>
      </c>
      <c r="R181" t="s">
        <v>28</v>
      </c>
    </row>
    <row r="182" spans="1:18">
      <c r="A182" s="38">
        <v>45292</v>
      </c>
      <c r="B182" s="8" t="s">
        <v>46</v>
      </c>
      <c r="C182" s="8" t="s">
        <v>47</v>
      </c>
      <c r="D182" s="8" t="s">
        <v>20</v>
      </c>
      <c r="E182" s="8" t="s">
        <v>21</v>
      </c>
      <c r="F182" s="10" t="s">
        <v>518</v>
      </c>
      <c r="G182" s="8" t="s">
        <v>590</v>
      </c>
      <c r="J182" s="8" t="s">
        <v>100</v>
      </c>
      <c r="K182" s="8">
        <v>10000</v>
      </c>
      <c r="L182" s="11">
        <v>10000</v>
      </c>
      <c r="M182" s="8" t="s">
        <v>26</v>
      </c>
      <c r="N182" s="8" t="s">
        <v>52</v>
      </c>
      <c r="O182" s="8" t="s">
        <v>591</v>
      </c>
      <c r="P182" t="s">
        <v>47</v>
      </c>
      <c r="Q182" t="s">
        <v>20</v>
      </c>
      <c r="R182" t="s">
        <v>45</v>
      </c>
    </row>
    <row r="183" spans="1:18">
      <c r="A183" s="38">
        <v>45432</v>
      </c>
      <c r="B183" s="8" t="s">
        <v>46</v>
      </c>
      <c r="C183" s="8" t="s">
        <v>47</v>
      </c>
      <c r="D183" s="8" t="s">
        <v>20</v>
      </c>
      <c r="E183" s="8" t="s">
        <v>21</v>
      </c>
      <c r="F183" s="13">
        <v>4.85833333333333</v>
      </c>
      <c r="G183" s="8" t="s">
        <v>592</v>
      </c>
      <c r="H183" s="8" t="s">
        <v>42</v>
      </c>
      <c r="I183" s="8" t="s">
        <v>42</v>
      </c>
      <c r="J183" s="8" t="s">
        <v>25</v>
      </c>
      <c r="K183" s="8">
        <v>13000</v>
      </c>
      <c r="L183" s="11">
        <v>13000</v>
      </c>
      <c r="M183" s="8" t="s">
        <v>43</v>
      </c>
      <c r="N183" s="8" t="s">
        <v>13</v>
      </c>
      <c r="O183" s="8" t="s">
        <v>593</v>
      </c>
      <c r="P183" t="s">
        <v>95</v>
      </c>
      <c r="Q183" t="s">
        <v>20</v>
      </c>
      <c r="R183" t="s">
        <v>96</v>
      </c>
    </row>
    <row r="184" spans="1:18">
      <c r="A184" s="38">
        <v>44805</v>
      </c>
      <c r="B184" s="8" t="s">
        <v>46</v>
      </c>
      <c r="C184" s="8" t="s">
        <v>47</v>
      </c>
      <c r="D184" s="8" t="s">
        <v>20</v>
      </c>
      <c r="E184" s="8" t="s">
        <v>21</v>
      </c>
      <c r="F184" s="13">
        <v>6.41666666666667</v>
      </c>
      <c r="G184" s="8" t="s">
        <v>594</v>
      </c>
      <c r="H184" s="8" t="s">
        <v>23</v>
      </c>
      <c r="I184" s="8" t="s">
        <v>24</v>
      </c>
      <c r="J184" s="8" t="s">
        <v>25</v>
      </c>
      <c r="K184" s="8">
        <v>2000</v>
      </c>
      <c r="L184" s="11">
        <v>2000</v>
      </c>
      <c r="M184" s="8" t="s">
        <v>43</v>
      </c>
      <c r="N184" s="8" t="s">
        <v>13</v>
      </c>
      <c r="O184" s="8" t="s">
        <v>595</v>
      </c>
      <c r="P184" t="s">
        <v>30</v>
      </c>
      <c r="Q184" t="s">
        <v>31</v>
      </c>
      <c r="R184" t="s">
        <v>54</v>
      </c>
    </row>
    <row r="185" spans="1:18">
      <c r="A185" s="38">
        <v>44805</v>
      </c>
      <c r="B185" s="8" t="s">
        <v>46</v>
      </c>
      <c r="C185" s="8" t="s">
        <v>47</v>
      </c>
      <c r="D185" s="8" t="s">
        <v>20</v>
      </c>
      <c r="E185" s="8" t="s">
        <v>21</v>
      </c>
      <c r="F185" s="10">
        <v>7.27666666666667</v>
      </c>
      <c r="G185" s="8" t="s">
        <v>596</v>
      </c>
      <c r="H185" s="8" t="s">
        <v>597</v>
      </c>
      <c r="I185" s="8" t="s">
        <v>92</v>
      </c>
      <c r="J185" s="8" t="s">
        <v>93</v>
      </c>
      <c r="K185" s="8">
        <v>4000</v>
      </c>
      <c r="L185" s="11">
        <v>4000</v>
      </c>
      <c r="M185" s="8" t="s">
        <v>43</v>
      </c>
      <c r="N185" s="8" t="s">
        <v>13</v>
      </c>
      <c r="O185" s="8" t="s">
        <v>598</v>
      </c>
      <c r="P185" t="s">
        <v>28</v>
      </c>
      <c r="Q185" t="s">
        <v>151</v>
      </c>
      <c r="R185" t="s">
        <v>28</v>
      </c>
    </row>
    <row r="186" spans="1:18">
      <c r="A186" s="38">
        <v>44593</v>
      </c>
      <c r="B186" s="8" t="s">
        <v>599</v>
      </c>
      <c r="C186" s="8" t="s">
        <v>30</v>
      </c>
      <c r="D186" s="8" t="s">
        <v>31</v>
      </c>
      <c r="E186" s="8" t="s">
        <v>32</v>
      </c>
      <c r="F186" s="13">
        <v>12.65</v>
      </c>
      <c r="G186" s="8" t="s">
        <v>600</v>
      </c>
      <c r="H186" s="8" t="s">
        <v>601</v>
      </c>
      <c r="I186" s="8" t="s">
        <v>601</v>
      </c>
      <c r="J186" s="8" t="s">
        <v>50</v>
      </c>
      <c r="K186" s="8">
        <v>430</v>
      </c>
      <c r="L186" s="11">
        <v>430</v>
      </c>
      <c r="M186" s="8" t="s">
        <v>240</v>
      </c>
      <c r="N186" s="8" t="s">
        <v>13</v>
      </c>
      <c r="O186" s="8" t="s">
        <v>450</v>
      </c>
      <c r="P186" t="s">
        <v>30</v>
      </c>
      <c r="Q186" t="s">
        <v>31</v>
      </c>
      <c r="R186" t="s">
        <v>54</v>
      </c>
    </row>
    <row r="187" spans="1:18">
      <c r="A187" s="38">
        <v>44805</v>
      </c>
      <c r="B187" s="8" t="s">
        <v>46</v>
      </c>
      <c r="C187" s="8" t="s">
        <v>47</v>
      </c>
      <c r="D187" s="8" t="s">
        <v>20</v>
      </c>
      <c r="E187" s="8" t="s">
        <v>21</v>
      </c>
      <c r="F187" s="10">
        <v>6.175</v>
      </c>
      <c r="G187" s="8" t="s">
        <v>602</v>
      </c>
      <c r="H187" s="8" t="s">
        <v>367</v>
      </c>
      <c r="I187" s="8" t="s">
        <v>368</v>
      </c>
      <c r="J187" s="8" t="s">
        <v>88</v>
      </c>
      <c r="K187" s="8">
        <v>18000</v>
      </c>
      <c r="L187" s="11">
        <v>18000</v>
      </c>
      <c r="M187" s="8" t="s">
        <v>43</v>
      </c>
      <c r="N187" s="8" t="s">
        <v>13</v>
      </c>
      <c r="O187" s="8" t="s">
        <v>603</v>
      </c>
      <c r="P187" t="s">
        <v>28</v>
      </c>
      <c r="Q187" t="s">
        <v>57</v>
      </c>
      <c r="R187" t="s">
        <v>28</v>
      </c>
    </row>
    <row r="188" spans="1:18">
      <c r="A188" s="38">
        <v>44593</v>
      </c>
      <c r="B188" s="8" t="s">
        <v>604</v>
      </c>
      <c r="C188" s="8" t="s">
        <v>47</v>
      </c>
      <c r="D188" s="8" t="s">
        <v>20</v>
      </c>
      <c r="E188" s="8" t="s">
        <v>21</v>
      </c>
      <c r="F188" s="10">
        <v>6.88333333333333</v>
      </c>
      <c r="G188" s="8" t="s">
        <v>605</v>
      </c>
      <c r="H188" s="8" t="s">
        <v>343</v>
      </c>
      <c r="I188" s="8" t="s">
        <v>99</v>
      </c>
      <c r="J188" s="8" t="s">
        <v>100</v>
      </c>
      <c r="K188" s="8">
        <v>2600</v>
      </c>
      <c r="L188" s="11">
        <v>2600</v>
      </c>
      <c r="M188" s="8" t="s">
        <v>43</v>
      </c>
      <c r="N188" s="8" t="s">
        <v>13</v>
      </c>
      <c r="O188" s="8" t="s">
        <v>606</v>
      </c>
      <c r="P188" t="s">
        <v>47</v>
      </c>
      <c r="Q188" t="s">
        <v>20</v>
      </c>
      <c r="R188" t="s">
        <v>45</v>
      </c>
    </row>
    <row r="189" spans="1:18">
      <c r="A189" s="38">
        <v>45139</v>
      </c>
      <c r="B189" s="8" t="s">
        <v>604</v>
      </c>
      <c r="C189" s="8" t="s">
        <v>47</v>
      </c>
      <c r="D189" s="8" t="s">
        <v>20</v>
      </c>
      <c r="E189" s="8" t="s">
        <v>21</v>
      </c>
      <c r="F189" s="10">
        <v>8.02777777777778</v>
      </c>
      <c r="G189" s="8" t="s">
        <v>607</v>
      </c>
      <c r="H189" s="8" t="s">
        <v>208</v>
      </c>
      <c r="I189" s="8" t="s">
        <v>104</v>
      </c>
      <c r="J189" s="8" t="s">
        <v>105</v>
      </c>
      <c r="K189" s="8">
        <v>2679.12</v>
      </c>
      <c r="L189" s="11">
        <v>2679.12</v>
      </c>
      <c r="M189" s="8" t="s">
        <v>43</v>
      </c>
      <c r="N189" s="8" t="s">
        <v>13</v>
      </c>
      <c r="O189" s="8" t="s">
        <v>608</v>
      </c>
      <c r="P189" t="s">
        <v>28</v>
      </c>
      <c r="Q189" t="s">
        <v>20</v>
      </c>
      <c r="R189" t="s">
        <v>28</v>
      </c>
    </row>
    <row r="190" spans="1:18">
      <c r="A190" s="38">
        <v>44793</v>
      </c>
      <c r="B190" s="8" t="s">
        <v>604</v>
      </c>
      <c r="C190" s="8" t="s">
        <v>47</v>
      </c>
      <c r="D190" s="8" t="s">
        <v>20</v>
      </c>
      <c r="E190" s="8" t="s">
        <v>21</v>
      </c>
      <c r="F190" s="13">
        <v>8.43333333333333</v>
      </c>
      <c r="G190" s="8" t="s">
        <v>609</v>
      </c>
      <c r="H190" s="8" t="s">
        <v>175</v>
      </c>
      <c r="I190" s="8" t="s">
        <v>176</v>
      </c>
      <c r="J190" s="8" t="s">
        <v>100</v>
      </c>
      <c r="K190" s="8">
        <v>1400</v>
      </c>
      <c r="L190" s="11">
        <v>1400</v>
      </c>
      <c r="M190" s="8" t="s">
        <v>51</v>
      </c>
      <c r="N190" s="8" t="s">
        <v>13</v>
      </c>
      <c r="O190" s="8" t="s">
        <v>610</v>
      </c>
      <c r="P190" t="s">
        <v>28</v>
      </c>
      <c r="Q190" t="s">
        <v>39</v>
      </c>
      <c r="R190" t="s">
        <v>28</v>
      </c>
    </row>
    <row r="191" spans="1:18">
      <c r="A191" s="38">
        <v>44896</v>
      </c>
      <c r="B191" s="8" t="s">
        <v>604</v>
      </c>
      <c r="C191" s="8" t="s">
        <v>47</v>
      </c>
      <c r="D191" s="8" t="s">
        <v>20</v>
      </c>
      <c r="E191" s="8" t="s">
        <v>21</v>
      </c>
      <c r="F191" s="10">
        <v>5.76944444444444</v>
      </c>
      <c r="G191" s="8" t="s">
        <v>611</v>
      </c>
      <c r="H191" s="8" t="s">
        <v>481</v>
      </c>
      <c r="I191" s="8" t="s">
        <v>92</v>
      </c>
      <c r="J191" s="8" t="s">
        <v>93</v>
      </c>
      <c r="K191" s="8">
        <v>4282.68</v>
      </c>
      <c r="L191" s="11">
        <v>4282.68</v>
      </c>
      <c r="M191" s="8" t="s">
        <v>66</v>
      </c>
      <c r="N191" s="8" t="s">
        <v>13</v>
      </c>
      <c r="O191" s="8" t="s">
        <v>612</v>
      </c>
      <c r="P191" t="s">
        <v>28</v>
      </c>
      <c r="Q191" t="s">
        <v>20</v>
      </c>
      <c r="R191" t="s">
        <v>28</v>
      </c>
    </row>
    <row r="192" spans="1:18">
      <c r="A192" s="38">
        <v>44805</v>
      </c>
      <c r="B192" s="8" t="s">
        <v>604</v>
      </c>
      <c r="C192" s="8" t="s">
        <v>47</v>
      </c>
      <c r="D192" s="8" t="s">
        <v>20</v>
      </c>
      <c r="E192" s="8" t="s">
        <v>21</v>
      </c>
      <c r="F192" s="10">
        <v>5.68333333333333</v>
      </c>
      <c r="G192" s="8" t="s">
        <v>613</v>
      </c>
      <c r="H192" s="8" t="s">
        <v>570</v>
      </c>
      <c r="I192" s="8" t="s">
        <v>80</v>
      </c>
      <c r="J192" s="8" t="s">
        <v>81</v>
      </c>
      <c r="K192" s="8">
        <v>7898.4</v>
      </c>
      <c r="L192" s="11">
        <v>7898.4</v>
      </c>
      <c r="M192" s="8" t="s">
        <v>43</v>
      </c>
      <c r="N192" s="8" t="s">
        <v>52</v>
      </c>
      <c r="O192" s="8" t="s">
        <v>614</v>
      </c>
      <c r="P192" t="s">
        <v>276</v>
      </c>
      <c r="Q192" t="s">
        <v>39</v>
      </c>
      <c r="R192" t="s">
        <v>54</v>
      </c>
    </row>
    <row r="193" spans="1:40">
      <c r="A193" s="38">
        <v>44562</v>
      </c>
      <c r="B193" s="40" t="s">
        <v>604</v>
      </c>
      <c r="C193" s="8" t="s">
        <v>47</v>
      </c>
      <c r="D193" s="8" t="s">
        <v>20</v>
      </c>
      <c r="E193" s="40" t="s">
        <v>21</v>
      </c>
      <c r="F193" s="41">
        <v>5.5</v>
      </c>
      <c r="G193" s="40" t="s">
        <v>615</v>
      </c>
      <c r="H193" s="40" t="s">
        <v>616</v>
      </c>
      <c r="I193" s="40" t="s">
        <v>211</v>
      </c>
      <c r="J193" s="40" t="s">
        <v>81</v>
      </c>
      <c r="K193" s="40">
        <v>7700</v>
      </c>
      <c r="L193" s="42">
        <v>7700</v>
      </c>
      <c r="M193" s="40" t="s">
        <v>51</v>
      </c>
      <c r="N193" s="40" t="s">
        <v>13</v>
      </c>
      <c r="O193" s="8" t="s">
        <v>617</v>
      </c>
      <c r="P193" t="s">
        <v>30</v>
      </c>
      <c r="Q193" t="s">
        <v>31</v>
      </c>
      <c r="R193" t="s">
        <v>54</v>
      </c>
    </row>
    <row r="194" spans="1:40">
      <c r="A194" s="38">
        <v>44986</v>
      </c>
      <c r="B194" s="8" t="s">
        <v>604</v>
      </c>
      <c r="C194" s="8" t="s">
        <v>47</v>
      </c>
      <c r="D194" s="8" t="s">
        <v>20</v>
      </c>
      <c r="E194" s="8" t="s">
        <v>21</v>
      </c>
      <c r="F194" s="14">
        <v>8.9</v>
      </c>
      <c r="G194" s="8" t="s">
        <v>618</v>
      </c>
      <c r="H194" s="8" t="s">
        <v>619</v>
      </c>
      <c r="I194" s="8" t="s">
        <v>176</v>
      </c>
      <c r="J194" s="8" t="s">
        <v>100</v>
      </c>
      <c r="K194" s="8">
        <v>2682</v>
      </c>
      <c r="L194" s="11">
        <v>2682</v>
      </c>
      <c r="M194" s="8" t="s">
        <v>43</v>
      </c>
      <c r="N194" s="8" t="s">
        <v>13</v>
      </c>
      <c r="O194" s="8" t="s">
        <v>620</v>
      </c>
      <c r="P194" t="s">
        <v>28</v>
      </c>
      <c r="Q194" t="s">
        <v>57</v>
      </c>
      <c r="R194" t="s">
        <v>28</v>
      </c>
    </row>
    <row r="195" spans="1:40">
      <c r="A195" s="38">
        <v>44724</v>
      </c>
      <c r="B195" s="8" t="s">
        <v>604</v>
      </c>
      <c r="C195" s="8" t="s">
        <v>47</v>
      </c>
      <c r="D195" s="8" t="s">
        <v>20</v>
      </c>
      <c r="E195" s="8" t="s">
        <v>21</v>
      </c>
      <c r="F195" s="10">
        <v>8</v>
      </c>
      <c r="G195" s="8" t="s">
        <v>621</v>
      </c>
      <c r="H195" s="8" t="s">
        <v>619</v>
      </c>
      <c r="I195" s="8" t="s">
        <v>176</v>
      </c>
      <c r="J195" s="8" t="s">
        <v>100</v>
      </c>
      <c r="K195" s="8">
        <v>2600</v>
      </c>
      <c r="L195" s="11">
        <v>2600</v>
      </c>
      <c r="M195" s="8" t="s">
        <v>51</v>
      </c>
      <c r="N195" s="8" t="s">
        <v>13</v>
      </c>
      <c r="O195" s="8" t="s">
        <v>622</v>
      </c>
      <c r="P195" t="s">
        <v>28</v>
      </c>
      <c r="Q195" t="s">
        <v>57</v>
      </c>
      <c r="R195" t="s">
        <v>28</v>
      </c>
    </row>
    <row r="196" spans="1:40">
      <c r="A196" s="38">
        <v>44866</v>
      </c>
      <c r="B196" s="8" t="s">
        <v>604</v>
      </c>
      <c r="C196" s="8" t="s">
        <v>47</v>
      </c>
      <c r="D196" s="8" t="s">
        <v>20</v>
      </c>
      <c r="E196" s="8" t="s">
        <v>21</v>
      </c>
      <c r="F196" s="10">
        <v>7.68055555555556</v>
      </c>
      <c r="G196" s="8" t="s">
        <v>623</v>
      </c>
      <c r="H196" s="8" t="s">
        <v>619</v>
      </c>
      <c r="I196" s="8" t="s">
        <v>176</v>
      </c>
      <c r="J196" s="8" t="s">
        <v>100</v>
      </c>
      <c r="K196" s="8">
        <v>1832.67</v>
      </c>
      <c r="L196" s="11">
        <v>1832.67</v>
      </c>
      <c r="M196" s="8" t="s">
        <v>245</v>
      </c>
      <c r="N196" s="8" t="s">
        <v>13</v>
      </c>
      <c r="O196" s="8" t="s">
        <v>624</v>
      </c>
      <c r="P196" t="s">
        <v>293</v>
      </c>
      <c r="Q196" t="s">
        <v>39</v>
      </c>
      <c r="R196" t="s">
        <v>62</v>
      </c>
    </row>
    <row r="197" spans="1:40">
      <c r="A197" s="38">
        <v>44805</v>
      </c>
      <c r="B197" s="8" t="s">
        <v>625</v>
      </c>
      <c r="C197" s="8" t="s">
        <v>517</v>
      </c>
      <c r="D197" s="8" t="s">
        <v>235</v>
      </c>
      <c r="E197" s="8" t="s">
        <v>21</v>
      </c>
      <c r="F197" s="13">
        <v>6.41666666666667</v>
      </c>
      <c r="G197" s="8" t="s">
        <v>626</v>
      </c>
      <c r="H197" s="8" t="s">
        <v>627</v>
      </c>
      <c r="I197" s="8" t="s">
        <v>627</v>
      </c>
      <c r="J197" s="8" t="s">
        <v>50</v>
      </c>
      <c r="K197" s="8">
        <v>2500</v>
      </c>
      <c r="L197" s="11">
        <v>2500</v>
      </c>
      <c r="M197" s="8" t="s">
        <v>43</v>
      </c>
      <c r="N197" s="8" t="s">
        <v>52</v>
      </c>
      <c r="O197" s="8" t="s">
        <v>628</v>
      </c>
      <c r="P197" t="s">
        <v>30</v>
      </c>
      <c r="Q197" t="s">
        <v>31</v>
      </c>
      <c r="R197" t="s">
        <v>54</v>
      </c>
    </row>
    <row r="198" spans="1:40">
      <c r="A198" s="38">
        <v>44621</v>
      </c>
      <c r="B198" s="8" t="s">
        <v>629</v>
      </c>
      <c r="C198" s="8" t="s">
        <v>47</v>
      </c>
      <c r="D198" s="8" t="s">
        <v>20</v>
      </c>
      <c r="E198" s="8" t="s">
        <v>21</v>
      </c>
      <c r="F198" s="10">
        <v>5.33</v>
      </c>
      <c r="G198" s="8" t="s">
        <v>630</v>
      </c>
      <c r="H198" s="8" t="s">
        <v>619</v>
      </c>
      <c r="I198" s="8" t="s">
        <v>176</v>
      </c>
      <c r="J198" s="8" t="s">
        <v>100</v>
      </c>
      <c r="K198" s="8">
        <v>538.35987858</v>
      </c>
      <c r="L198" s="11">
        <v>538.35987858</v>
      </c>
      <c r="M198" s="8" t="s">
        <v>245</v>
      </c>
      <c r="N198" s="8" t="s">
        <v>13</v>
      </c>
      <c r="O198" s="8" t="s">
        <v>631</v>
      </c>
      <c r="P198" t="s">
        <v>28</v>
      </c>
      <c r="Q198" t="s">
        <v>20</v>
      </c>
      <c r="R198" t="s">
        <v>28</v>
      </c>
    </row>
    <row r="199" spans="1:40">
      <c r="A199" s="38">
        <v>45028</v>
      </c>
      <c r="B199" s="8" t="s">
        <v>632</v>
      </c>
      <c r="C199" s="8" t="s">
        <v>397</v>
      </c>
      <c r="D199" s="8" t="s">
        <v>188</v>
      </c>
      <c r="E199" s="8" t="s">
        <v>21</v>
      </c>
      <c r="F199" s="13">
        <v>8.70833333333333</v>
      </c>
      <c r="G199" s="8" t="s">
        <v>633</v>
      </c>
      <c r="H199" s="8" t="s">
        <v>182</v>
      </c>
      <c r="I199" s="8" t="s">
        <v>182</v>
      </c>
      <c r="J199" s="8" t="s">
        <v>25</v>
      </c>
      <c r="K199" s="8">
        <v>2300</v>
      </c>
      <c r="L199" s="11">
        <v>2300</v>
      </c>
      <c r="M199" s="8" t="s">
        <v>51</v>
      </c>
      <c r="N199" s="8" t="s">
        <v>52</v>
      </c>
      <c r="O199" s="8" t="s">
        <v>634</v>
      </c>
      <c r="P199" t="s">
        <v>140</v>
      </c>
      <c r="Q199" t="s">
        <v>20</v>
      </c>
      <c r="R199" t="s">
        <v>54</v>
      </c>
    </row>
    <row r="200" ht="28" spans="1:40">
      <c r="A200" s="38">
        <v>45231</v>
      </c>
      <c r="B200" s="8" t="s">
        <v>632</v>
      </c>
      <c r="C200" s="8" t="s">
        <v>397</v>
      </c>
      <c r="D200" s="8" t="s">
        <v>188</v>
      </c>
      <c r="E200" s="8" t="s">
        <v>21</v>
      </c>
      <c r="F200" s="10">
        <v>6.75</v>
      </c>
      <c r="G200" s="17" t="s">
        <v>635</v>
      </c>
      <c r="H200" s="8" t="s">
        <v>570</v>
      </c>
      <c r="I200" s="8" t="s">
        <v>80</v>
      </c>
      <c r="J200" s="8" t="s">
        <v>81</v>
      </c>
      <c r="K200" s="8">
        <v>954.52</v>
      </c>
      <c r="L200" s="11">
        <v>954.52</v>
      </c>
      <c r="M200" s="8" t="s">
        <v>66</v>
      </c>
      <c r="N200" s="8" t="s">
        <v>52</v>
      </c>
      <c r="O200" s="8" t="s">
        <v>636</v>
      </c>
      <c r="P200" t="s">
        <v>122</v>
      </c>
      <c r="Q200" t="s">
        <v>68</v>
      </c>
      <c r="R200" t="s">
        <v>54</v>
      </c>
    </row>
    <row r="201" spans="1:40">
      <c r="A201" s="38">
        <v>44958</v>
      </c>
      <c r="B201" s="8" t="s">
        <v>637</v>
      </c>
      <c r="C201" s="8" t="s">
        <v>30</v>
      </c>
      <c r="D201" s="8" t="s">
        <v>31</v>
      </c>
      <c r="E201" s="8" t="s">
        <v>32</v>
      </c>
      <c r="F201" s="10">
        <v>16.8586666666667</v>
      </c>
      <c r="G201" s="8" t="s">
        <v>638</v>
      </c>
      <c r="H201" s="8" t="s">
        <v>199</v>
      </c>
      <c r="I201" s="8" t="s">
        <v>200</v>
      </c>
      <c r="J201" s="8" t="s">
        <v>201</v>
      </c>
      <c r="K201" s="8">
        <v>2270.71</v>
      </c>
      <c r="L201" s="11">
        <v>2270.71</v>
      </c>
      <c r="M201" s="8" t="s">
        <v>75</v>
      </c>
      <c r="N201" s="8" t="s">
        <v>13</v>
      </c>
      <c r="O201" s="8" t="s">
        <v>498</v>
      </c>
      <c r="P201" t="s">
        <v>30</v>
      </c>
      <c r="Q201" t="s">
        <v>31</v>
      </c>
      <c r="R201" t="s">
        <v>54</v>
      </c>
    </row>
    <row r="202" spans="1:40">
      <c r="A202" s="38">
        <v>45017</v>
      </c>
      <c r="B202" s="8" t="s">
        <v>639</v>
      </c>
      <c r="C202" s="8" t="s">
        <v>83</v>
      </c>
      <c r="D202" s="8" t="s">
        <v>68</v>
      </c>
      <c r="E202" s="8" t="s">
        <v>21</v>
      </c>
      <c r="F202" s="13">
        <v>8.25</v>
      </c>
      <c r="G202" s="8" t="s">
        <v>640</v>
      </c>
      <c r="H202" s="8" t="s">
        <v>641</v>
      </c>
      <c r="I202" s="8" t="s">
        <v>406</v>
      </c>
      <c r="J202" s="8" t="s">
        <v>407</v>
      </c>
      <c r="K202" s="8">
        <v>3500</v>
      </c>
      <c r="L202" s="11">
        <v>3500</v>
      </c>
      <c r="M202" s="8" t="s">
        <v>66</v>
      </c>
      <c r="N202" s="8" t="s">
        <v>52</v>
      </c>
      <c r="O202" s="8" t="s">
        <v>642</v>
      </c>
      <c r="P202" t="s">
        <v>122</v>
      </c>
      <c r="Q202" t="s">
        <v>68</v>
      </c>
      <c r="R202" t="s">
        <v>54</v>
      </c>
    </row>
    <row r="203" spans="1:40">
      <c r="A203" s="38">
        <v>44593</v>
      </c>
      <c r="B203" s="8" t="s">
        <v>599</v>
      </c>
      <c r="C203" s="8" t="s">
        <v>30</v>
      </c>
      <c r="D203" s="8" t="s">
        <v>31</v>
      </c>
      <c r="E203" s="8" t="s">
        <v>32</v>
      </c>
      <c r="F203" s="13">
        <v>11.4583333333333</v>
      </c>
      <c r="G203" s="8" t="s">
        <v>643</v>
      </c>
      <c r="H203" s="8" t="s">
        <v>171</v>
      </c>
      <c r="I203" s="8" t="s">
        <v>171</v>
      </c>
      <c r="J203" s="8" t="s">
        <v>50</v>
      </c>
      <c r="K203" s="8">
        <v>1000</v>
      </c>
      <c r="L203" s="11">
        <v>1000</v>
      </c>
      <c r="M203" s="8" t="s">
        <v>66</v>
      </c>
      <c r="N203" s="8" t="s">
        <v>13</v>
      </c>
      <c r="O203" s="8" t="s">
        <v>628</v>
      </c>
      <c r="P203" t="s">
        <v>30</v>
      </c>
      <c r="Q203" t="s">
        <v>31</v>
      </c>
      <c r="R203" t="s">
        <v>54</v>
      </c>
    </row>
    <row r="204" spans="1:40">
      <c r="A204" s="38">
        <v>44986</v>
      </c>
      <c r="B204" s="8" t="s">
        <v>644</v>
      </c>
      <c r="C204" s="8" t="s">
        <v>234</v>
      </c>
      <c r="D204" s="8" t="s">
        <v>235</v>
      </c>
      <c r="E204" s="8" t="s">
        <v>21</v>
      </c>
      <c r="F204" s="13">
        <v>6.41666666666667</v>
      </c>
      <c r="G204" s="8" t="s">
        <v>645</v>
      </c>
      <c r="H204" s="8" t="s">
        <v>477</v>
      </c>
      <c r="I204" s="8" t="s">
        <v>477</v>
      </c>
      <c r="J204" s="8" t="s">
        <v>50</v>
      </c>
      <c r="K204" s="8">
        <v>1500</v>
      </c>
      <c r="L204" s="11">
        <v>1500</v>
      </c>
      <c r="M204" s="8" t="s">
        <v>66</v>
      </c>
      <c r="N204" s="8" t="s">
        <v>13</v>
      </c>
      <c r="O204" s="8" t="s">
        <v>646</v>
      </c>
      <c r="P204" t="s">
        <v>30</v>
      </c>
      <c r="Q204" t="s">
        <v>31</v>
      </c>
      <c r="R204" t="s">
        <v>54</v>
      </c>
    </row>
    <row r="205" s="15" customFormat="1" spans="1:40">
      <c r="A205" s="38">
        <v>44803</v>
      </c>
      <c r="B205" s="8" t="s">
        <v>639</v>
      </c>
      <c r="C205" s="8" t="s">
        <v>83</v>
      </c>
      <c r="D205" s="8" t="s">
        <v>68</v>
      </c>
      <c r="E205" s="8" t="s">
        <v>21</v>
      </c>
      <c r="F205" s="13">
        <v>9.16666666666667</v>
      </c>
      <c r="G205" s="8" t="s">
        <v>647</v>
      </c>
      <c r="H205" s="8" t="s">
        <v>23</v>
      </c>
      <c r="I205" s="8" t="s">
        <v>24</v>
      </c>
      <c r="J205" s="8" t="s">
        <v>25</v>
      </c>
      <c r="K205" s="8">
        <v>8000</v>
      </c>
      <c r="L205" s="11">
        <v>8000</v>
      </c>
      <c r="M205" s="8" t="s">
        <v>43</v>
      </c>
      <c r="N205" s="8" t="s">
        <v>13</v>
      </c>
      <c r="O205" s="8" t="s">
        <v>648</v>
      </c>
      <c r="P205" t="s">
        <v>83</v>
      </c>
      <c r="Q205" t="s">
        <v>68</v>
      </c>
      <c r="R205" t="s">
        <v>84</v>
      </c>
      <c r="S205"/>
      <c r="T205"/>
      <c r="U205"/>
      <c r="V205"/>
      <c r="W205"/>
      <c r="X205"/>
      <c r="Y205"/>
      <c r="Z205"/>
      <c r="AA205"/>
      <c r="AB205"/>
      <c r="AC205"/>
      <c r="AD205"/>
      <c r="AE205"/>
      <c r="AF205"/>
      <c r="AG205"/>
      <c r="AH205"/>
      <c r="AI205"/>
      <c r="AJ205"/>
      <c r="AK205"/>
      <c r="AL205"/>
      <c r="AM205"/>
      <c r="AN205"/>
    </row>
    <row r="206" spans="1:40">
      <c r="A206" s="38">
        <v>45078</v>
      </c>
      <c r="B206" s="8" t="s">
        <v>639</v>
      </c>
      <c r="C206" s="8" t="s">
        <v>83</v>
      </c>
      <c r="D206" s="8" t="s">
        <v>68</v>
      </c>
      <c r="E206" s="8" t="s">
        <v>21</v>
      </c>
      <c r="F206" s="13">
        <v>8.70833333333333</v>
      </c>
      <c r="G206" s="8" t="s">
        <v>649</v>
      </c>
      <c r="H206" s="8" t="s">
        <v>185</v>
      </c>
      <c r="I206" s="8" t="s">
        <v>185</v>
      </c>
      <c r="J206" s="8" t="s">
        <v>25</v>
      </c>
      <c r="K206" s="8">
        <v>500</v>
      </c>
      <c r="L206" s="11">
        <v>500</v>
      </c>
      <c r="M206" s="8" t="s">
        <v>75</v>
      </c>
      <c r="N206" s="8" t="s">
        <v>13</v>
      </c>
      <c r="O206" s="8" t="s">
        <v>650</v>
      </c>
      <c r="P206" t="s">
        <v>651</v>
      </c>
      <c r="Q206" t="s">
        <v>188</v>
      </c>
      <c r="R206" t="s">
        <v>84</v>
      </c>
    </row>
    <row r="207" spans="1:40">
      <c r="A207" s="38">
        <v>45078</v>
      </c>
      <c r="B207" s="8" t="s">
        <v>639</v>
      </c>
      <c r="C207" s="8" t="s">
        <v>83</v>
      </c>
      <c r="D207" s="8" t="s">
        <v>68</v>
      </c>
      <c r="E207" s="8" t="s">
        <v>21</v>
      </c>
      <c r="F207" s="10">
        <v>9.23611111111111</v>
      </c>
      <c r="G207" s="8" t="s">
        <v>652</v>
      </c>
      <c r="H207" s="8" t="s">
        <v>185</v>
      </c>
      <c r="I207" s="8" t="s">
        <v>185</v>
      </c>
      <c r="J207" s="8" t="s">
        <v>25</v>
      </c>
      <c r="K207" s="8">
        <v>500</v>
      </c>
      <c r="L207" s="11">
        <v>500</v>
      </c>
      <c r="M207" s="8" t="s">
        <v>66</v>
      </c>
      <c r="N207" s="8" t="s">
        <v>13</v>
      </c>
      <c r="O207" s="8" t="s">
        <v>653</v>
      </c>
      <c r="P207" t="s">
        <v>397</v>
      </c>
      <c r="Q207" t="s">
        <v>188</v>
      </c>
      <c r="R207" t="s">
        <v>45</v>
      </c>
    </row>
    <row r="208" spans="1:40">
      <c r="A208" s="38">
        <v>44613</v>
      </c>
      <c r="B208" s="8" t="s">
        <v>639</v>
      </c>
      <c r="C208" s="8" t="s">
        <v>83</v>
      </c>
      <c r="D208" s="8" t="s">
        <v>68</v>
      </c>
      <c r="E208" s="8" t="s">
        <v>21</v>
      </c>
      <c r="F208" s="10">
        <v>8.78333333333333</v>
      </c>
      <c r="G208" s="8" t="s">
        <v>654</v>
      </c>
      <c r="H208" s="8" t="s">
        <v>23</v>
      </c>
      <c r="I208" s="8" t="s">
        <v>24</v>
      </c>
      <c r="J208" s="8" t="s">
        <v>25</v>
      </c>
      <c r="K208" s="8">
        <v>168</v>
      </c>
      <c r="L208" s="11">
        <v>168</v>
      </c>
      <c r="M208" s="8" t="s">
        <v>51</v>
      </c>
      <c r="N208" s="8" t="s">
        <v>13</v>
      </c>
      <c r="O208" s="8" t="s">
        <v>655</v>
      </c>
      <c r="P208" t="s">
        <v>397</v>
      </c>
      <c r="Q208" t="s">
        <v>188</v>
      </c>
      <c r="R208" t="s">
        <v>45</v>
      </c>
    </row>
    <row r="209" spans="1:18">
      <c r="A209" s="38">
        <v>45250</v>
      </c>
      <c r="B209" s="8" t="s">
        <v>639</v>
      </c>
      <c r="C209" s="8" t="s">
        <v>83</v>
      </c>
      <c r="D209" s="8" t="s">
        <v>68</v>
      </c>
      <c r="E209" s="8" t="s">
        <v>21</v>
      </c>
      <c r="F209" s="13">
        <v>8.06666666666667</v>
      </c>
      <c r="G209" s="8" t="s">
        <v>656</v>
      </c>
      <c r="H209" s="8" t="s">
        <v>570</v>
      </c>
      <c r="I209" s="8" t="s">
        <v>80</v>
      </c>
      <c r="J209" s="8" t="s">
        <v>81</v>
      </c>
      <c r="K209" s="8">
        <v>750</v>
      </c>
      <c r="L209" s="11">
        <v>750</v>
      </c>
      <c r="M209" s="8" t="s">
        <v>66</v>
      </c>
      <c r="N209" s="8" t="s">
        <v>52</v>
      </c>
      <c r="O209" s="8" t="s">
        <v>657</v>
      </c>
      <c r="P209" t="s">
        <v>122</v>
      </c>
      <c r="Q209" t="s">
        <v>68</v>
      </c>
      <c r="R209" t="s">
        <v>54</v>
      </c>
    </row>
    <row r="210" spans="1:18">
      <c r="A210" s="38">
        <v>45519</v>
      </c>
      <c r="B210" s="8" t="s">
        <v>639</v>
      </c>
      <c r="C210" s="8" t="s">
        <v>83</v>
      </c>
      <c r="D210" s="8" t="s">
        <v>68</v>
      </c>
      <c r="E210" s="8" t="s">
        <v>21</v>
      </c>
      <c r="F210" s="13">
        <v>8.06666666666667</v>
      </c>
      <c r="G210" s="8" t="s">
        <v>658</v>
      </c>
      <c r="I210" s="8" t="e">
        <v>#N/A</v>
      </c>
      <c r="J210" s="8" t="s">
        <v>81</v>
      </c>
      <c r="K210" s="8">
        <v>500</v>
      </c>
      <c r="L210" s="11">
        <v>500</v>
      </c>
      <c r="M210" s="8" t="s">
        <v>43</v>
      </c>
      <c r="N210" s="8" t="s">
        <v>13</v>
      </c>
      <c r="O210" s="8" t="s">
        <v>659</v>
      </c>
      <c r="P210" t="s">
        <v>122</v>
      </c>
      <c r="Q210" t="s">
        <v>68</v>
      </c>
      <c r="R210" t="s">
        <v>54</v>
      </c>
    </row>
    <row r="211" spans="1:18">
      <c r="A211" s="38">
        <v>44866</v>
      </c>
      <c r="B211" s="8" t="s">
        <v>639</v>
      </c>
      <c r="C211" s="8" t="s">
        <v>83</v>
      </c>
      <c r="D211" s="8" t="s">
        <v>68</v>
      </c>
      <c r="E211" s="8" t="s">
        <v>21</v>
      </c>
      <c r="F211" s="13">
        <v>7.975</v>
      </c>
      <c r="G211" s="8" t="s">
        <v>660</v>
      </c>
      <c r="H211" s="8" t="s">
        <v>425</v>
      </c>
      <c r="I211" s="8" t="s">
        <v>406</v>
      </c>
      <c r="J211" s="8" t="s">
        <v>407</v>
      </c>
      <c r="K211" s="8">
        <v>1300</v>
      </c>
      <c r="L211" s="11">
        <v>1300</v>
      </c>
      <c r="M211" s="8" t="s">
        <v>66</v>
      </c>
      <c r="N211" s="8" t="s">
        <v>13</v>
      </c>
      <c r="O211" s="8" t="s">
        <v>661</v>
      </c>
      <c r="P211" t="s">
        <v>28</v>
      </c>
      <c r="Q211" t="s">
        <v>68</v>
      </c>
      <c r="R211" t="s">
        <v>28</v>
      </c>
    </row>
    <row r="212" spans="1:18">
      <c r="A212" s="38">
        <v>44866</v>
      </c>
      <c r="B212" s="8" t="s">
        <v>639</v>
      </c>
      <c r="C212" s="8" t="s">
        <v>83</v>
      </c>
      <c r="D212" s="8" t="s">
        <v>68</v>
      </c>
      <c r="E212" s="8" t="s">
        <v>21</v>
      </c>
      <c r="F212" s="10">
        <v>8.7</v>
      </c>
      <c r="G212" s="8" t="s">
        <v>662</v>
      </c>
      <c r="H212" s="8" t="s">
        <v>405</v>
      </c>
      <c r="I212" s="8" t="s">
        <v>406</v>
      </c>
      <c r="J212" s="8" t="s">
        <v>407</v>
      </c>
      <c r="K212" s="8">
        <v>1360.58</v>
      </c>
      <c r="L212" s="11">
        <v>1360.58</v>
      </c>
      <c r="M212" s="8" t="s">
        <v>245</v>
      </c>
      <c r="N212" s="8" t="s">
        <v>13</v>
      </c>
      <c r="O212" s="8" t="s">
        <v>661</v>
      </c>
      <c r="P212" t="s">
        <v>28</v>
      </c>
      <c r="Q212" t="s">
        <v>68</v>
      </c>
      <c r="R212" t="s">
        <v>28</v>
      </c>
    </row>
    <row r="213" spans="1:18">
      <c r="A213" s="38">
        <v>44866</v>
      </c>
      <c r="B213" s="8" t="s">
        <v>639</v>
      </c>
      <c r="C213" s="8" t="s">
        <v>83</v>
      </c>
      <c r="D213" s="8" t="s">
        <v>68</v>
      </c>
      <c r="E213" s="8" t="s">
        <v>21</v>
      </c>
      <c r="F213" s="10">
        <v>8.7</v>
      </c>
      <c r="G213" s="8" t="s">
        <v>663</v>
      </c>
      <c r="H213" s="8" t="s">
        <v>405</v>
      </c>
      <c r="I213" s="8" t="s">
        <v>406</v>
      </c>
      <c r="J213" s="8" t="s">
        <v>407</v>
      </c>
      <c r="K213" s="8">
        <v>732.62</v>
      </c>
      <c r="L213" s="11">
        <v>732.62</v>
      </c>
      <c r="M213" s="8" t="s">
        <v>245</v>
      </c>
      <c r="N213" s="8" t="s">
        <v>13</v>
      </c>
      <c r="O213" s="8" t="s">
        <v>661</v>
      </c>
      <c r="P213" t="s">
        <v>28</v>
      </c>
      <c r="Q213" t="s">
        <v>68</v>
      </c>
      <c r="R213" t="s">
        <v>28</v>
      </c>
    </row>
    <row r="214" spans="1:18">
      <c r="A214" s="38">
        <v>45194</v>
      </c>
      <c r="B214" s="8" t="s">
        <v>639</v>
      </c>
      <c r="C214" s="8" t="s">
        <v>83</v>
      </c>
      <c r="D214" s="8" t="s">
        <v>68</v>
      </c>
      <c r="E214" s="8" t="s">
        <v>21</v>
      </c>
      <c r="F214" s="10">
        <v>9.72222222222222</v>
      </c>
      <c r="G214" s="8" t="s">
        <v>664</v>
      </c>
      <c r="H214" s="8" t="s">
        <v>575</v>
      </c>
      <c r="I214" s="8" t="s">
        <v>206</v>
      </c>
      <c r="J214" s="8" t="s">
        <v>88</v>
      </c>
      <c r="K214" s="8">
        <v>350</v>
      </c>
      <c r="L214" s="11">
        <v>350</v>
      </c>
      <c r="M214" s="8" t="s">
        <v>66</v>
      </c>
      <c r="N214" s="8" t="s">
        <v>13</v>
      </c>
      <c r="O214" s="8" t="s">
        <v>665</v>
      </c>
      <c r="P214" t="s">
        <v>179</v>
      </c>
      <c r="Q214" t="s">
        <v>68</v>
      </c>
      <c r="R214" t="s">
        <v>96</v>
      </c>
    </row>
    <row r="215" spans="1:18">
      <c r="A215" s="38">
        <v>45107</v>
      </c>
      <c r="B215" s="8" t="s">
        <v>644</v>
      </c>
      <c r="C215" s="8" t="s">
        <v>234</v>
      </c>
      <c r="D215" s="8" t="s">
        <v>235</v>
      </c>
      <c r="E215" s="8" t="s">
        <v>21</v>
      </c>
      <c r="F215" s="13">
        <v>6.41666666666667</v>
      </c>
      <c r="G215" s="8" t="s">
        <v>666</v>
      </c>
      <c r="H215" s="8" t="s">
        <v>477</v>
      </c>
      <c r="I215" s="8" t="s">
        <v>477</v>
      </c>
      <c r="J215" s="8" t="s">
        <v>50</v>
      </c>
      <c r="K215" s="8">
        <v>1500</v>
      </c>
      <c r="L215" s="11">
        <v>1500</v>
      </c>
      <c r="M215" s="8" t="s">
        <v>43</v>
      </c>
      <c r="N215" s="8" t="s">
        <v>13</v>
      </c>
      <c r="O215" s="8" t="s">
        <v>646</v>
      </c>
      <c r="P215" t="s">
        <v>30</v>
      </c>
      <c r="Q215" t="s">
        <v>31</v>
      </c>
      <c r="R215" t="s">
        <v>54</v>
      </c>
    </row>
    <row r="216" spans="1:18">
      <c r="A216" s="38">
        <v>44568</v>
      </c>
      <c r="B216" s="8" t="s">
        <v>639</v>
      </c>
      <c r="C216" s="8" t="s">
        <v>83</v>
      </c>
      <c r="D216" s="8" t="s">
        <v>68</v>
      </c>
      <c r="E216" s="8" t="s">
        <v>21</v>
      </c>
      <c r="F216" s="10">
        <v>8.19</v>
      </c>
      <c r="G216" s="8" t="s">
        <v>667</v>
      </c>
      <c r="H216" s="8" t="s">
        <v>291</v>
      </c>
      <c r="I216" s="8" t="s">
        <v>87</v>
      </c>
      <c r="J216" s="8" t="s">
        <v>88</v>
      </c>
      <c r="K216" s="8">
        <v>2111</v>
      </c>
      <c r="L216" s="11">
        <v>2111</v>
      </c>
      <c r="M216" s="8" t="s">
        <v>66</v>
      </c>
      <c r="N216" s="8" t="s">
        <v>52</v>
      </c>
      <c r="O216" s="8" t="s">
        <v>668</v>
      </c>
      <c r="P216" t="s">
        <v>30</v>
      </c>
      <c r="Q216" t="s">
        <v>31</v>
      </c>
      <c r="R216" t="s">
        <v>54</v>
      </c>
    </row>
    <row r="217" spans="1:18">
      <c r="A217" s="38">
        <v>44805</v>
      </c>
      <c r="B217" s="8" t="s">
        <v>639</v>
      </c>
      <c r="C217" s="8" t="s">
        <v>83</v>
      </c>
      <c r="D217" s="8" t="s">
        <v>68</v>
      </c>
      <c r="E217" s="8" t="s">
        <v>21</v>
      </c>
      <c r="F217" s="10">
        <v>7.09333333333333</v>
      </c>
      <c r="G217" s="8" t="s">
        <v>669</v>
      </c>
      <c r="H217" s="8" t="s">
        <v>619</v>
      </c>
      <c r="I217" s="8" t="s">
        <v>176</v>
      </c>
      <c r="J217" s="8" t="s">
        <v>100</v>
      </c>
      <c r="K217" s="8">
        <v>2090.7</v>
      </c>
      <c r="L217" s="11">
        <v>2090.7</v>
      </c>
      <c r="M217" s="8" t="s">
        <v>66</v>
      </c>
      <c r="N217" s="8" t="s">
        <v>13</v>
      </c>
      <c r="O217" s="8" t="s">
        <v>670</v>
      </c>
      <c r="P217" t="s">
        <v>107</v>
      </c>
      <c r="Q217" t="s">
        <v>20</v>
      </c>
      <c r="R217" t="s">
        <v>62</v>
      </c>
    </row>
    <row r="218" spans="1:18">
      <c r="A218" s="38">
        <v>45322</v>
      </c>
      <c r="B218" s="8" t="s">
        <v>671</v>
      </c>
      <c r="C218" s="8" t="s">
        <v>397</v>
      </c>
      <c r="D218" s="8" t="s">
        <v>188</v>
      </c>
      <c r="E218" s="8" t="s">
        <v>21</v>
      </c>
      <c r="F218" s="13">
        <v>5.31666666666667</v>
      </c>
      <c r="G218" s="8" t="s">
        <v>672</v>
      </c>
      <c r="H218" s="8" t="s">
        <v>109</v>
      </c>
      <c r="I218" s="8" t="s">
        <v>87</v>
      </c>
      <c r="J218" s="8" t="s">
        <v>88</v>
      </c>
      <c r="K218" s="8">
        <v>3300</v>
      </c>
      <c r="L218" s="11">
        <v>3300</v>
      </c>
      <c r="M218" s="8" t="s">
        <v>75</v>
      </c>
      <c r="N218" s="8" t="s">
        <v>13</v>
      </c>
      <c r="O218" s="8" t="s">
        <v>673</v>
      </c>
      <c r="P218" t="s">
        <v>397</v>
      </c>
      <c r="Q218" t="s">
        <v>188</v>
      </c>
      <c r="R218" t="s">
        <v>45</v>
      </c>
    </row>
    <row r="219" spans="1:18">
      <c r="A219" s="38">
        <v>45377</v>
      </c>
      <c r="B219" s="8" t="s">
        <v>671</v>
      </c>
      <c r="C219" s="8" t="s">
        <v>397</v>
      </c>
      <c r="D219" s="8" t="s">
        <v>188</v>
      </c>
      <c r="E219" s="8" t="s">
        <v>21</v>
      </c>
      <c r="F219" s="13">
        <v>4.58333333333333</v>
      </c>
      <c r="G219" s="8" t="s">
        <v>674</v>
      </c>
      <c r="H219" s="8" t="s">
        <v>575</v>
      </c>
      <c r="I219" s="8" t="s">
        <v>206</v>
      </c>
      <c r="J219" s="8" t="s">
        <v>88</v>
      </c>
      <c r="K219" s="8">
        <v>3000</v>
      </c>
      <c r="L219" s="11">
        <v>3000</v>
      </c>
      <c r="M219" s="8" t="s">
        <v>43</v>
      </c>
      <c r="N219" s="8" t="s">
        <v>13</v>
      </c>
      <c r="O219" s="8" t="s">
        <v>675</v>
      </c>
      <c r="P219" t="s">
        <v>397</v>
      </c>
      <c r="Q219" t="s">
        <v>188</v>
      </c>
      <c r="R219" t="s">
        <v>45</v>
      </c>
    </row>
    <row r="220" spans="1:18">
      <c r="A220" s="38">
        <v>45231</v>
      </c>
      <c r="B220" s="8" t="s">
        <v>671</v>
      </c>
      <c r="C220" s="8" t="s">
        <v>397</v>
      </c>
      <c r="D220" s="8" t="s">
        <v>188</v>
      </c>
      <c r="E220" s="8" t="s">
        <v>21</v>
      </c>
      <c r="F220" s="13">
        <v>5.04166666666667</v>
      </c>
      <c r="G220" s="8" t="s">
        <v>676</v>
      </c>
      <c r="H220" s="8" t="s">
        <v>564</v>
      </c>
      <c r="I220" s="8" t="s">
        <v>200</v>
      </c>
      <c r="J220" s="8" t="s">
        <v>201</v>
      </c>
      <c r="K220" s="8">
        <v>3200</v>
      </c>
      <c r="L220" s="11">
        <v>3200</v>
      </c>
      <c r="M220" s="8" t="s">
        <v>240</v>
      </c>
      <c r="N220" s="8" t="s">
        <v>13</v>
      </c>
      <c r="O220" s="8" t="s">
        <v>677</v>
      </c>
      <c r="P220" t="s">
        <v>179</v>
      </c>
      <c r="Q220" t="s">
        <v>68</v>
      </c>
      <c r="R220" t="s">
        <v>96</v>
      </c>
    </row>
    <row r="221" spans="1:18">
      <c r="A221" s="38">
        <v>45504</v>
      </c>
      <c r="B221" s="8" t="s">
        <v>671</v>
      </c>
      <c r="C221" s="8" t="s">
        <v>397</v>
      </c>
      <c r="D221" s="8" t="s">
        <v>188</v>
      </c>
      <c r="E221" s="8" t="s">
        <v>21</v>
      </c>
      <c r="F221" s="10">
        <v>6.80277777777778</v>
      </c>
      <c r="G221" s="8" t="s">
        <v>678</v>
      </c>
      <c r="H221" s="8" t="s">
        <v>109</v>
      </c>
      <c r="I221" s="8" t="s">
        <v>87</v>
      </c>
      <c r="J221" s="8" t="s">
        <v>88</v>
      </c>
      <c r="K221" s="8">
        <v>1200</v>
      </c>
      <c r="L221" s="11">
        <v>1200</v>
      </c>
      <c r="M221" s="8" t="s">
        <v>26</v>
      </c>
      <c r="N221" s="8" t="s">
        <v>13</v>
      </c>
      <c r="O221" s="8" t="s">
        <v>679</v>
      </c>
      <c r="P221" t="s">
        <v>28</v>
      </c>
      <c r="Q221" t="s">
        <v>77</v>
      </c>
      <c r="R221" t="s">
        <v>28</v>
      </c>
    </row>
    <row r="222" spans="1:18">
      <c r="A222" s="38">
        <v>45292</v>
      </c>
      <c r="B222" s="8" t="s">
        <v>671</v>
      </c>
      <c r="C222" s="8" t="s">
        <v>397</v>
      </c>
      <c r="D222" s="8" t="s">
        <v>188</v>
      </c>
      <c r="E222" s="8" t="s">
        <v>21</v>
      </c>
      <c r="F222" s="10">
        <v>5.16666666666667</v>
      </c>
      <c r="G222" s="8" t="s">
        <v>680</v>
      </c>
      <c r="H222" s="8" t="s">
        <v>394</v>
      </c>
      <c r="I222" s="8" t="s">
        <v>378</v>
      </c>
      <c r="J222" s="8" t="s">
        <v>88</v>
      </c>
      <c r="K222" s="8">
        <v>3000</v>
      </c>
      <c r="L222" s="11">
        <v>3000</v>
      </c>
      <c r="M222" s="8" t="s">
        <v>43</v>
      </c>
      <c r="N222" s="8" t="s">
        <v>13</v>
      </c>
      <c r="O222" s="8" t="s">
        <v>681</v>
      </c>
      <c r="P222" t="s">
        <v>420</v>
      </c>
      <c r="Q222" t="s">
        <v>39</v>
      </c>
      <c r="R222" t="s">
        <v>96</v>
      </c>
    </row>
    <row r="223" spans="1:18">
      <c r="A223" s="38">
        <v>45412</v>
      </c>
      <c r="B223" s="8" t="s">
        <v>671</v>
      </c>
      <c r="C223" s="8" t="s">
        <v>397</v>
      </c>
      <c r="D223" s="8" t="s">
        <v>188</v>
      </c>
      <c r="E223" s="8" t="s">
        <v>21</v>
      </c>
      <c r="F223" s="13">
        <v>6.23333333333333</v>
      </c>
      <c r="G223" s="8" t="s">
        <v>682</v>
      </c>
      <c r="H223" s="8" t="s">
        <v>405</v>
      </c>
      <c r="I223" s="8" t="s">
        <v>406</v>
      </c>
      <c r="J223" s="8" t="s">
        <v>407</v>
      </c>
      <c r="K223" s="8">
        <v>330</v>
      </c>
      <c r="L223" s="11">
        <v>330</v>
      </c>
      <c r="M223" s="8" t="s">
        <v>43</v>
      </c>
      <c r="N223" s="8" t="s">
        <v>13</v>
      </c>
      <c r="O223" s="8" t="s">
        <v>683</v>
      </c>
      <c r="P223" t="s">
        <v>28</v>
      </c>
      <c r="Q223" t="s">
        <v>20</v>
      </c>
      <c r="R223" t="s">
        <v>28</v>
      </c>
    </row>
    <row r="224" spans="1:18">
      <c r="A224" s="38">
        <v>44855</v>
      </c>
      <c r="B224" s="8" t="s">
        <v>684</v>
      </c>
      <c r="C224" s="8" t="s">
        <v>148</v>
      </c>
      <c r="D224" s="8" t="s">
        <v>57</v>
      </c>
      <c r="E224" s="8" t="s">
        <v>32</v>
      </c>
      <c r="F224" s="13">
        <v>7.15</v>
      </c>
      <c r="G224" s="8" t="s">
        <v>685</v>
      </c>
      <c r="H224" s="8" t="s">
        <v>360</v>
      </c>
      <c r="I224" s="8" t="s">
        <v>99</v>
      </c>
      <c r="J224" s="8" t="s">
        <v>100</v>
      </c>
      <c r="K224" s="8">
        <v>1800</v>
      </c>
      <c r="L224" s="11">
        <v>1800</v>
      </c>
      <c r="M224" s="8" t="s">
        <v>43</v>
      </c>
      <c r="N224" s="8" t="s">
        <v>52</v>
      </c>
      <c r="O224" s="8" t="s">
        <v>686</v>
      </c>
      <c r="P224" t="s">
        <v>148</v>
      </c>
      <c r="Q224" t="s">
        <v>57</v>
      </c>
      <c r="R224" t="s">
        <v>96</v>
      </c>
    </row>
    <row r="225" spans="1:18">
      <c r="A225" s="38">
        <v>45138</v>
      </c>
      <c r="B225" s="8" t="s">
        <v>684</v>
      </c>
      <c r="C225" s="8" t="s">
        <v>148</v>
      </c>
      <c r="D225" s="8" t="s">
        <v>57</v>
      </c>
      <c r="E225" s="8" t="s">
        <v>32</v>
      </c>
      <c r="F225" s="13">
        <v>7.11333333333333</v>
      </c>
      <c r="G225" s="8" t="s">
        <v>687</v>
      </c>
      <c r="H225" s="8" t="s">
        <v>616</v>
      </c>
      <c r="I225" s="8" t="s">
        <v>211</v>
      </c>
      <c r="J225" s="8" t="s">
        <v>81</v>
      </c>
      <c r="K225" s="8">
        <v>2147.56</v>
      </c>
      <c r="L225" s="11">
        <v>2147.56</v>
      </c>
      <c r="M225" s="8" t="s">
        <v>43</v>
      </c>
      <c r="N225" s="8" t="s">
        <v>13</v>
      </c>
      <c r="O225" s="8" t="s">
        <v>688</v>
      </c>
      <c r="P225" t="s">
        <v>28</v>
      </c>
      <c r="Q225" t="s">
        <v>57</v>
      </c>
      <c r="R225" t="s">
        <v>28</v>
      </c>
    </row>
    <row r="226" spans="1:18">
      <c r="A226" s="38">
        <v>45444</v>
      </c>
      <c r="B226" s="8" t="s">
        <v>689</v>
      </c>
      <c r="C226" s="8" t="s">
        <v>651</v>
      </c>
      <c r="D226" s="8" t="s">
        <v>188</v>
      </c>
      <c r="E226" s="8" t="s">
        <v>21</v>
      </c>
      <c r="F226" s="10">
        <v>5.95833333333333</v>
      </c>
      <c r="G226" s="8" t="s">
        <v>690</v>
      </c>
      <c r="H226" s="8" t="s">
        <v>239</v>
      </c>
      <c r="I226" s="8" t="s">
        <v>200</v>
      </c>
      <c r="J226" s="8" t="s">
        <v>201</v>
      </c>
      <c r="K226" s="8">
        <v>311.5</v>
      </c>
      <c r="L226" s="11">
        <v>311.5</v>
      </c>
      <c r="M226" s="8" t="s">
        <v>26</v>
      </c>
      <c r="N226" s="8" t="s">
        <v>52</v>
      </c>
      <c r="O226" s="8" t="s">
        <v>450</v>
      </c>
      <c r="P226" t="s">
        <v>30</v>
      </c>
      <c r="Q226" t="s">
        <v>31</v>
      </c>
      <c r="R226" t="s">
        <v>54</v>
      </c>
    </row>
    <row r="227" spans="1:18">
      <c r="A227" s="38">
        <v>44972</v>
      </c>
      <c r="B227" s="8" t="s">
        <v>691</v>
      </c>
      <c r="C227" s="8" t="s">
        <v>276</v>
      </c>
      <c r="D227" s="8" t="s">
        <v>39</v>
      </c>
      <c r="E227" s="8" t="s">
        <v>32</v>
      </c>
      <c r="F227" s="13">
        <v>9.35</v>
      </c>
      <c r="G227" s="8" t="s">
        <v>692</v>
      </c>
      <c r="H227" s="8" t="s">
        <v>564</v>
      </c>
      <c r="I227" s="8" t="s">
        <v>200</v>
      </c>
      <c r="J227" s="8" t="s">
        <v>201</v>
      </c>
      <c r="K227" s="8">
        <v>500</v>
      </c>
      <c r="L227" s="11">
        <v>500</v>
      </c>
      <c r="M227" s="8" t="s">
        <v>51</v>
      </c>
      <c r="N227" s="8" t="s">
        <v>52</v>
      </c>
      <c r="O227" s="8" t="s">
        <v>657</v>
      </c>
      <c r="P227" t="s">
        <v>122</v>
      </c>
      <c r="Q227" t="s">
        <v>68</v>
      </c>
      <c r="R227" t="s">
        <v>54</v>
      </c>
    </row>
    <row r="228" spans="1:18">
      <c r="A228" s="38">
        <v>45505</v>
      </c>
      <c r="B228" s="8" t="s">
        <v>693</v>
      </c>
      <c r="C228" s="8" t="s">
        <v>30</v>
      </c>
      <c r="D228" s="8" t="s">
        <v>31</v>
      </c>
      <c r="E228" s="8" t="s">
        <v>32</v>
      </c>
      <c r="F228" s="13">
        <v>7.33333333333333</v>
      </c>
      <c r="G228" s="8" t="s">
        <v>694</v>
      </c>
      <c r="H228" s="8" t="s">
        <v>695</v>
      </c>
      <c r="I228" s="8" t="s">
        <v>200</v>
      </c>
      <c r="J228" s="8" t="s">
        <v>201</v>
      </c>
      <c r="K228" s="8">
        <v>200</v>
      </c>
      <c r="L228" s="11">
        <v>200</v>
      </c>
      <c r="M228" s="8" t="s">
        <v>26</v>
      </c>
      <c r="N228" s="8" t="s">
        <v>13</v>
      </c>
      <c r="O228" s="8" t="s">
        <v>450</v>
      </c>
      <c r="P228" t="s">
        <v>30</v>
      </c>
      <c r="Q228" t="s">
        <v>31</v>
      </c>
      <c r="R228" t="s">
        <v>54</v>
      </c>
    </row>
    <row r="229" spans="1:18">
      <c r="A229" s="38">
        <v>45170</v>
      </c>
      <c r="B229" s="8" t="s">
        <v>693</v>
      </c>
      <c r="C229" s="8" t="s">
        <v>30</v>
      </c>
      <c r="D229" s="8" t="s">
        <v>31</v>
      </c>
      <c r="E229" s="8" t="s">
        <v>32</v>
      </c>
      <c r="F229" s="10">
        <v>9.2</v>
      </c>
      <c r="G229" s="8" t="s">
        <v>696</v>
      </c>
      <c r="H229" s="8" t="s">
        <v>103</v>
      </c>
      <c r="I229" s="8" t="s">
        <v>104</v>
      </c>
      <c r="J229" s="8" t="s">
        <v>105</v>
      </c>
      <c r="K229" s="8">
        <v>635.42</v>
      </c>
      <c r="L229" s="11">
        <v>635.42</v>
      </c>
      <c r="M229" s="8" t="s">
        <v>245</v>
      </c>
      <c r="N229" s="8" t="s">
        <v>52</v>
      </c>
      <c r="O229" s="8" t="s">
        <v>697</v>
      </c>
      <c r="P229" t="s">
        <v>30</v>
      </c>
      <c r="Q229" t="s">
        <v>31</v>
      </c>
      <c r="R229" t="s">
        <v>54</v>
      </c>
    </row>
    <row r="230" spans="1:18">
      <c r="A230" s="38">
        <v>45495</v>
      </c>
      <c r="B230" s="8" t="s">
        <v>693</v>
      </c>
      <c r="C230" s="8" t="s">
        <v>30</v>
      </c>
      <c r="D230" s="8" t="s">
        <v>31</v>
      </c>
      <c r="E230" s="8" t="s">
        <v>32</v>
      </c>
      <c r="F230" s="13">
        <v>7.33333333333333</v>
      </c>
      <c r="G230" s="8" t="s">
        <v>698</v>
      </c>
      <c r="H230" s="8" t="s">
        <v>699</v>
      </c>
      <c r="I230" s="8" t="s">
        <v>200</v>
      </c>
      <c r="J230" s="8" t="s">
        <v>201</v>
      </c>
      <c r="K230" s="8">
        <v>800</v>
      </c>
      <c r="L230" s="11">
        <v>800</v>
      </c>
      <c r="M230" s="8" t="s">
        <v>26</v>
      </c>
      <c r="N230" s="8" t="s">
        <v>13</v>
      </c>
      <c r="O230" s="8" t="s">
        <v>700</v>
      </c>
      <c r="P230" t="s">
        <v>28</v>
      </c>
      <c r="Q230" t="s">
        <v>68</v>
      </c>
      <c r="R230" t="s">
        <v>28</v>
      </c>
    </row>
    <row r="231" spans="1:18">
      <c r="A231" s="38">
        <v>45534</v>
      </c>
      <c r="B231" s="8" t="s">
        <v>701</v>
      </c>
      <c r="C231" s="8" t="s">
        <v>30</v>
      </c>
      <c r="D231" s="8" t="s">
        <v>31</v>
      </c>
      <c r="E231" s="8" t="s">
        <v>32</v>
      </c>
      <c r="F231" s="18">
        <v>5.95833333333333</v>
      </c>
      <c r="G231" s="8" t="s">
        <v>702</v>
      </c>
      <c r="H231" s="8" t="s">
        <v>703</v>
      </c>
      <c r="I231" s="8" t="s">
        <v>176</v>
      </c>
      <c r="J231" s="8" t="s">
        <v>100</v>
      </c>
      <c r="K231" s="8">
        <v>4500</v>
      </c>
      <c r="L231" s="19">
        <v>4500</v>
      </c>
      <c r="M231" s="8" t="s">
        <v>26</v>
      </c>
      <c r="N231" s="8" t="s">
        <v>13</v>
      </c>
      <c r="O231" s="8" t="s">
        <v>283</v>
      </c>
      <c r="P231" t="s">
        <v>234</v>
      </c>
      <c r="Q231" t="s">
        <v>31</v>
      </c>
      <c r="R231" t="s">
        <v>45</v>
      </c>
    </row>
    <row r="232" spans="1:18">
      <c r="A232" s="38">
        <v>45047</v>
      </c>
      <c r="B232" s="8" t="s">
        <v>704</v>
      </c>
      <c r="C232" s="8" t="s">
        <v>150</v>
      </c>
      <c r="D232" s="8" t="s">
        <v>151</v>
      </c>
      <c r="E232" s="8" t="s">
        <v>21</v>
      </c>
      <c r="F232" s="13">
        <v>4.6</v>
      </c>
      <c r="G232" s="8" t="s">
        <v>705</v>
      </c>
      <c r="H232" s="8" t="s">
        <v>116</v>
      </c>
      <c r="I232" s="8" t="s">
        <v>116</v>
      </c>
      <c r="J232" s="8" t="s">
        <v>50</v>
      </c>
      <c r="K232" s="8">
        <v>13693.66</v>
      </c>
      <c r="L232" s="11">
        <v>13693.66</v>
      </c>
      <c r="M232" s="8" t="s">
        <v>43</v>
      </c>
      <c r="N232" s="8" t="s">
        <v>52</v>
      </c>
      <c r="O232" s="8" t="s">
        <v>448</v>
      </c>
      <c r="P232" t="s">
        <v>30</v>
      </c>
      <c r="Q232" t="s">
        <v>31</v>
      </c>
      <c r="R232" t="s">
        <v>54</v>
      </c>
    </row>
    <row r="233" spans="1:18">
      <c r="A233" s="38">
        <v>44593</v>
      </c>
      <c r="B233" s="8" t="s">
        <v>114</v>
      </c>
      <c r="C233" s="8" t="s">
        <v>95</v>
      </c>
      <c r="D233" s="8" t="s">
        <v>20</v>
      </c>
      <c r="E233" s="8" t="s">
        <v>32</v>
      </c>
      <c r="F233" s="10">
        <v>7.74444444444444</v>
      </c>
      <c r="G233" s="8" t="s">
        <v>706</v>
      </c>
      <c r="H233" s="8" t="s">
        <v>136</v>
      </c>
      <c r="I233" s="8" t="s">
        <v>137</v>
      </c>
      <c r="J233" s="8" t="s">
        <v>25</v>
      </c>
      <c r="K233" s="8">
        <v>240</v>
      </c>
      <c r="L233" s="11">
        <v>240</v>
      </c>
      <c r="M233" s="8" t="s">
        <v>66</v>
      </c>
      <c r="N233" s="8" t="s">
        <v>52</v>
      </c>
      <c r="O233" s="8" t="s">
        <v>707</v>
      </c>
      <c r="P233" t="s">
        <v>95</v>
      </c>
      <c r="Q233" t="s">
        <v>20</v>
      </c>
      <c r="R233" t="s">
        <v>96</v>
      </c>
    </row>
    <row r="234" spans="1:18">
      <c r="A234" s="38">
        <v>44581</v>
      </c>
      <c r="B234" s="8" t="s">
        <v>708</v>
      </c>
      <c r="C234" s="8" t="s">
        <v>495</v>
      </c>
      <c r="D234" s="8" t="s">
        <v>111</v>
      </c>
      <c r="E234" s="8" t="s">
        <v>21</v>
      </c>
      <c r="F234" s="13">
        <v>6.41666666666667</v>
      </c>
      <c r="G234" s="8" t="s">
        <v>709</v>
      </c>
      <c r="H234" s="8" t="s">
        <v>710</v>
      </c>
      <c r="I234" s="8" t="s">
        <v>711</v>
      </c>
      <c r="J234" s="8" t="s">
        <v>161</v>
      </c>
      <c r="K234" s="8">
        <v>2100</v>
      </c>
      <c r="L234" s="11">
        <v>2100</v>
      </c>
      <c r="M234" s="8" t="s">
        <v>51</v>
      </c>
      <c r="N234" s="8" t="s">
        <v>13</v>
      </c>
      <c r="O234" s="8" t="s">
        <v>712</v>
      </c>
      <c r="P234" t="s">
        <v>495</v>
      </c>
      <c r="Q234" t="s">
        <v>111</v>
      </c>
      <c r="R234" t="s">
        <v>84</v>
      </c>
    </row>
    <row r="235" spans="1:18">
      <c r="A235" s="38">
        <v>45111</v>
      </c>
      <c r="B235" s="8" t="s">
        <v>708</v>
      </c>
      <c r="C235" s="8" t="s">
        <v>495</v>
      </c>
      <c r="D235" s="8" t="s">
        <v>111</v>
      </c>
      <c r="E235" s="8" t="s">
        <v>21</v>
      </c>
      <c r="F235" s="13">
        <v>6.41666666666667</v>
      </c>
      <c r="G235" s="8" t="s">
        <v>713</v>
      </c>
      <c r="H235" s="8" t="s">
        <v>714</v>
      </c>
      <c r="I235" s="8" t="s">
        <v>206</v>
      </c>
      <c r="J235" s="8" t="s">
        <v>88</v>
      </c>
      <c r="K235" s="8">
        <v>4000</v>
      </c>
      <c r="L235" s="11">
        <v>4000</v>
      </c>
      <c r="M235" s="8" t="s">
        <v>51</v>
      </c>
      <c r="N235" s="8" t="s">
        <v>13</v>
      </c>
      <c r="O235" s="8" t="s">
        <v>715</v>
      </c>
      <c r="P235" t="s">
        <v>495</v>
      </c>
      <c r="Q235" t="s">
        <v>111</v>
      </c>
      <c r="R235" t="s">
        <v>84</v>
      </c>
    </row>
    <row r="236" spans="1:18">
      <c r="A236" s="38">
        <v>44573</v>
      </c>
      <c r="B236" s="8" t="s">
        <v>708</v>
      </c>
      <c r="C236" s="8" t="s">
        <v>495</v>
      </c>
      <c r="D236" s="8" t="s">
        <v>111</v>
      </c>
      <c r="E236" s="8" t="s">
        <v>21</v>
      </c>
      <c r="F236" s="13">
        <v>7.33333333333333</v>
      </c>
      <c r="G236" s="8" t="s">
        <v>716</v>
      </c>
      <c r="H236" s="8" t="s">
        <v>42</v>
      </c>
      <c r="I236" s="8" t="s">
        <v>42</v>
      </c>
      <c r="J236" s="8" t="s">
        <v>25</v>
      </c>
      <c r="K236" s="8">
        <v>2100</v>
      </c>
      <c r="L236" s="11">
        <v>2100</v>
      </c>
      <c r="M236" s="8" t="s">
        <v>26</v>
      </c>
      <c r="N236" s="8" t="s">
        <v>13</v>
      </c>
      <c r="O236" s="8" t="s">
        <v>717</v>
      </c>
      <c r="P236" t="s">
        <v>495</v>
      </c>
      <c r="Q236" t="s">
        <v>111</v>
      </c>
      <c r="R236" t="s">
        <v>84</v>
      </c>
    </row>
    <row r="237" spans="1:18">
      <c r="A237" s="38">
        <v>45363</v>
      </c>
      <c r="B237" s="8" t="s">
        <v>708</v>
      </c>
      <c r="C237" s="8" t="s">
        <v>495</v>
      </c>
      <c r="D237" s="8" t="s">
        <v>111</v>
      </c>
      <c r="E237" s="8" t="s">
        <v>21</v>
      </c>
      <c r="F237" s="13">
        <v>3.66666666666667</v>
      </c>
      <c r="G237" s="8" t="s">
        <v>718</v>
      </c>
      <c r="H237" s="8" t="s">
        <v>59</v>
      </c>
      <c r="I237" s="8" t="s">
        <v>59</v>
      </c>
      <c r="J237" s="8" t="s">
        <v>25</v>
      </c>
      <c r="K237" s="8">
        <v>1900</v>
      </c>
      <c r="L237" s="11">
        <v>1900</v>
      </c>
      <c r="M237" s="8" t="s">
        <v>26</v>
      </c>
      <c r="N237" s="8" t="s">
        <v>13</v>
      </c>
      <c r="O237" s="8" t="s">
        <v>719</v>
      </c>
      <c r="P237" t="s">
        <v>61</v>
      </c>
      <c r="Q237" t="s">
        <v>57</v>
      </c>
      <c r="R237" t="s">
        <v>62</v>
      </c>
    </row>
    <row r="238" spans="1:18">
      <c r="A238" s="38">
        <v>44734</v>
      </c>
      <c r="B238" s="8" t="s">
        <v>708</v>
      </c>
      <c r="C238" s="8" t="s">
        <v>495</v>
      </c>
      <c r="D238" s="8" t="s">
        <v>111</v>
      </c>
      <c r="E238" s="8" t="s">
        <v>21</v>
      </c>
      <c r="F238" s="13">
        <v>5.5</v>
      </c>
      <c r="G238" s="8" t="s">
        <v>720</v>
      </c>
      <c r="H238" s="8" t="s">
        <v>98</v>
      </c>
      <c r="I238" s="8" t="s">
        <v>99</v>
      </c>
      <c r="J238" s="8" t="s">
        <v>100</v>
      </c>
      <c r="K238" s="8">
        <v>8000</v>
      </c>
      <c r="L238" s="11">
        <v>8000</v>
      </c>
      <c r="M238" s="8" t="s">
        <v>43</v>
      </c>
      <c r="N238" s="8" t="s">
        <v>13</v>
      </c>
      <c r="O238" s="8" t="s">
        <v>721</v>
      </c>
      <c r="P238" t="s">
        <v>150</v>
      </c>
      <c r="Q238" t="s">
        <v>151</v>
      </c>
      <c r="R238" t="s">
        <v>45</v>
      </c>
    </row>
    <row r="239" spans="1:18">
      <c r="A239" s="38">
        <v>44925</v>
      </c>
      <c r="B239" s="8" t="s">
        <v>722</v>
      </c>
      <c r="C239" s="8" t="s">
        <v>495</v>
      </c>
      <c r="D239" s="8" t="s">
        <v>111</v>
      </c>
      <c r="E239" s="8" t="s">
        <v>21</v>
      </c>
      <c r="F239" s="10">
        <v>5.5</v>
      </c>
      <c r="G239" s="8" t="s">
        <v>723</v>
      </c>
      <c r="H239" s="8" t="s">
        <v>425</v>
      </c>
      <c r="I239" s="8" t="s">
        <v>406</v>
      </c>
      <c r="J239" s="8" t="s">
        <v>407</v>
      </c>
      <c r="K239" s="8">
        <v>3400</v>
      </c>
      <c r="L239" s="11">
        <v>3400</v>
      </c>
      <c r="M239" s="8" t="s">
        <v>51</v>
      </c>
      <c r="N239" s="8" t="s">
        <v>13</v>
      </c>
      <c r="O239" s="8" t="s">
        <v>724</v>
      </c>
      <c r="P239" t="s">
        <v>495</v>
      </c>
      <c r="Q239" t="s">
        <v>111</v>
      </c>
      <c r="R239" t="s">
        <v>84</v>
      </c>
    </row>
    <row r="240" spans="1:18">
      <c r="A240" s="38">
        <v>44622</v>
      </c>
      <c r="B240" s="8" t="s">
        <v>722</v>
      </c>
      <c r="C240" s="8" t="s">
        <v>495</v>
      </c>
      <c r="D240" s="8" t="s">
        <v>111</v>
      </c>
      <c r="E240" s="8" t="s">
        <v>21</v>
      </c>
      <c r="F240" s="13">
        <v>6.23333333333333</v>
      </c>
      <c r="G240" s="8" t="s">
        <v>725</v>
      </c>
      <c r="H240" s="8" t="s">
        <v>79</v>
      </c>
      <c r="I240" s="8" t="s">
        <v>80</v>
      </c>
      <c r="J240" s="8" t="s">
        <v>81</v>
      </c>
      <c r="K240" s="8">
        <v>1000</v>
      </c>
      <c r="L240" s="11">
        <v>1000</v>
      </c>
      <c r="M240" s="8" t="s">
        <v>26</v>
      </c>
      <c r="N240" s="8" t="s">
        <v>52</v>
      </c>
      <c r="O240" s="8" t="s">
        <v>726</v>
      </c>
      <c r="P240" t="s">
        <v>122</v>
      </c>
      <c r="Q240" t="s">
        <v>68</v>
      </c>
      <c r="R240" t="s">
        <v>54</v>
      </c>
    </row>
    <row r="241" spans="1:18">
      <c r="A241" s="38">
        <v>45391</v>
      </c>
      <c r="B241" s="8" t="s">
        <v>279</v>
      </c>
      <c r="C241" s="8" t="s">
        <v>95</v>
      </c>
      <c r="D241" s="8" t="s">
        <v>20</v>
      </c>
      <c r="E241" s="8" t="s">
        <v>32</v>
      </c>
      <c r="F241" s="13">
        <v>6.41666666666667</v>
      </c>
      <c r="G241" s="8" t="s">
        <v>727</v>
      </c>
      <c r="H241" s="8" t="s">
        <v>165</v>
      </c>
      <c r="I241" s="8" t="s">
        <v>165</v>
      </c>
      <c r="J241" s="8" t="s">
        <v>50</v>
      </c>
      <c r="K241" s="8">
        <v>4300</v>
      </c>
      <c r="L241" s="11">
        <v>4300</v>
      </c>
      <c r="M241" s="8" t="s">
        <v>43</v>
      </c>
      <c r="N241" s="8" t="s">
        <v>52</v>
      </c>
      <c r="O241" s="8" t="s">
        <v>728</v>
      </c>
      <c r="P241" t="s">
        <v>95</v>
      </c>
      <c r="Q241" t="s">
        <v>20</v>
      </c>
      <c r="R241" t="s">
        <v>96</v>
      </c>
    </row>
    <row r="242" spans="1:18">
      <c r="A242" s="38">
        <v>45270</v>
      </c>
      <c r="B242" s="8" t="s">
        <v>466</v>
      </c>
      <c r="C242" s="8" t="s">
        <v>95</v>
      </c>
      <c r="D242" s="8" t="s">
        <v>20</v>
      </c>
      <c r="E242" s="8" t="s">
        <v>32</v>
      </c>
      <c r="F242" s="13">
        <v>7.33333333333333</v>
      </c>
      <c r="G242" s="8" t="s">
        <v>729</v>
      </c>
      <c r="H242" s="8" t="s">
        <v>171</v>
      </c>
      <c r="I242" s="8" t="s">
        <v>171</v>
      </c>
      <c r="J242" s="8" t="s">
        <v>50</v>
      </c>
      <c r="K242" s="8">
        <v>2900</v>
      </c>
      <c r="L242" s="11">
        <v>2900</v>
      </c>
      <c r="M242" s="8" t="s">
        <v>43</v>
      </c>
      <c r="N242" s="8" t="s">
        <v>13</v>
      </c>
      <c r="O242" s="8" t="s">
        <v>94</v>
      </c>
      <c r="P242" t="s">
        <v>95</v>
      </c>
      <c r="Q242" t="s">
        <v>20</v>
      </c>
      <c r="R242" t="s">
        <v>96</v>
      </c>
    </row>
    <row r="243" spans="1:18">
      <c r="A243" s="38">
        <v>44743</v>
      </c>
      <c r="B243" s="8" t="s">
        <v>284</v>
      </c>
      <c r="C243" s="8" t="s">
        <v>95</v>
      </c>
      <c r="D243" s="8" t="s">
        <v>20</v>
      </c>
      <c r="E243" s="8" t="s">
        <v>32</v>
      </c>
      <c r="F243" s="10">
        <v>9.91666666666667</v>
      </c>
      <c r="G243" s="8" t="s">
        <v>730</v>
      </c>
      <c r="H243" s="8" t="s">
        <v>171</v>
      </c>
      <c r="I243" s="8" t="s">
        <v>171</v>
      </c>
      <c r="J243" s="8" t="s">
        <v>50</v>
      </c>
      <c r="K243" s="8">
        <v>459.91</v>
      </c>
      <c r="L243" s="11">
        <v>459.91</v>
      </c>
      <c r="M243" s="8" t="s">
        <v>245</v>
      </c>
      <c r="N243" s="8" t="s">
        <v>13</v>
      </c>
      <c r="O243" s="8" t="s">
        <v>312</v>
      </c>
      <c r="P243" t="s">
        <v>28</v>
      </c>
      <c r="Q243" t="s">
        <v>20</v>
      </c>
      <c r="R243" t="s">
        <v>28</v>
      </c>
    </row>
    <row r="244" spans="1:18">
      <c r="A244" s="38">
        <v>44986</v>
      </c>
      <c r="B244" s="8" t="s">
        <v>731</v>
      </c>
      <c r="C244" s="8" t="s">
        <v>95</v>
      </c>
      <c r="D244" s="8" t="s">
        <v>20</v>
      </c>
      <c r="E244" s="8" t="s">
        <v>32</v>
      </c>
      <c r="F244" s="13">
        <v>6.6</v>
      </c>
      <c r="G244" s="8" t="s">
        <v>732</v>
      </c>
      <c r="H244" s="8" t="s">
        <v>86</v>
      </c>
      <c r="I244" s="8" t="s">
        <v>87</v>
      </c>
      <c r="J244" s="8" t="s">
        <v>88</v>
      </c>
      <c r="K244" s="8">
        <v>700</v>
      </c>
      <c r="L244" s="11">
        <v>700</v>
      </c>
      <c r="M244" s="8" t="s">
        <v>43</v>
      </c>
      <c r="N244" s="8" t="s">
        <v>13</v>
      </c>
      <c r="O244" s="8" t="s">
        <v>733</v>
      </c>
      <c r="P244" t="s">
        <v>28</v>
      </c>
      <c r="Q244" t="s">
        <v>39</v>
      </c>
      <c r="R244" t="s">
        <v>28</v>
      </c>
    </row>
    <row r="245" spans="1:18">
      <c r="A245" s="38">
        <v>44729</v>
      </c>
      <c r="B245" s="8" t="s">
        <v>229</v>
      </c>
      <c r="C245" s="8" t="s">
        <v>230</v>
      </c>
      <c r="D245" s="8" t="s">
        <v>68</v>
      </c>
      <c r="E245" s="8" t="s">
        <v>32</v>
      </c>
      <c r="F245" s="13">
        <v>8.25</v>
      </c>
      <c r="G245" s="8" t="s">
        <v>734</v>
      </c>
      <c r="H245" s="8" t="s">
        <v>23</v>
      </c>
      <c r="I245" s="8" t="s">
        <v>24</v>
      </c>
      <c r="J245" s="8" t="s">
        <v>25</v>
      </c>
      <c r="K245" s="8">
        <v>189</v>
      </c>
      <c r="L245" s="11">
        <v>189</v>
      </c>
      <c r="M245" s="8" t="s">
        <v>51</v>
      </c>
      <c r="N245" s="8" t="s">
        <v>13</v>
      </c>
      <c r="O245" s="8" t="s">
        <v>735</v>
      </c>
      <c r="P245" t="s">
        <v>397</v>
      </c>
      <c r="Q245" t="s">
        <v>188</v>
      </c>
      <c r="R245" t="s">
        <v>45</v>
      </c>
    </row>
    <row r="246" spans="1:18">
      <c r="A246" s="38">
        <v>45445</v>
      </c>
      <c r="B246" s="8" t="s">
        <v>229</v>
      </c>
      <c r="C246" s="8" t="s">
        <v>230</v>
      </c>
      <c r="D246" s="8" t="s">
        <v>68</v>
      </c>
      <c r="E246" s="8" t="s">
        <v>32</v>
      </c>
      <c r="F246" s="13">
        <v>6.41666666666667</v>
      </c>
      <c r="G246" s="8" t="s">
        <v>736</v>
      </c>
      <c r="H246" s="8" t="s">
        <v>444</v>
      </c>
      <c r="I246" s="8" t="s">
        <v>200</v>
      </c>
      <c r="J246" s="8" t="s">
        <v>201</v>
      </c>
      <c r="K246" s="8">
        <v>2500</v>
      </c>
      <c r="L246" s="11">
        <v>2500</v>
      </c>
      <c r="M246" s="8" t="s">
        <v>26</v>
      </c>
      <c r="N246" s="8" t="s">
        <v>13</v>
      </c>
      <c r="O246" s="8" t="s">
        <v>737</v>
      </c>
      <c r="P246" t="s">
        <v>265</v>
      </c>
      <c r="Q246" t="s">
        <v>31</v>
      </c>
      <c r="R246" t="s">
        <v>84</v>
      </c>
    </row>
    <row r="247" spans="1:18">
      <c r="A247" s="38">
        <v>45505</v>
      </c>
      <c r="B247" s="8" t="s">
        <v>516</v>
      </c>
      <c r="C247" s="8" t="s">
        <v>517</v>
      </c>
      <c r="D247" s="8" t="s">
        <v>235</v>
      </c>
      <c r="E247" s="8" t="s">
        <v>21</v>
      </c>
      <c r="F247" s="10">
        <v>7.79166666666667</v>
      </c>
      <c r="G247" s="8" t="s">
        <v>738</v>
      </c>
      <c r="H247" s="8" t="s">
        <v>601</v>
      </c>
      <c r="I247" s="8" t="s">
        <v>601</v>
      </c>
      <c r="J247" s="8" t="s">
        <v>50</v>
      </c>
      <c r="K247" s="8">
        <v>470</v>
      </c>
      <c r="L247" s="11">
        <v>470</v>
      </c>
      <c r="M247" s="8" t="s">
        <v>26</v>
      </c>
      <c r="N247" s="8" t="s">
        <v>52</v>
      </c>
      <c r="O247" s="8" t="s">
        <v>739</v>
      </c>
      <c r="P247" t="s">
        <v>30</v>
      </c>
      <c r="Q247" t="s">
        <v>31</v>
      </c>
      <c r="R247" t="s">
        <v>54</v>
      </c>
    </row>
    <row r="248" spans="1:18">
      <c r="A248" s="38">
        <v>45077</v>
      </c>
      <c r="B248" s="8" t="s">
        <v>740</v>
      </c>
      <c r="C248" s="8" t="s">
        <v>230</v>
      </c>
      <c r="D248" s="8" t="s">
        <v>68</v>
      </c>
      <c r="E248" s="8" t="s">
        <v>32</v>
      </c>
      <c r="F248" s="13">
        <v>13.75</v>
      </c>
      <c r="G248" s="8" t="s">
        <v>741</v>
      </c>
      <c r="H248" s="8" t="s">
        <v>444</v>
      </c>
      <c r="I248" s="8" t="s">
        <v>200</v>
      </c>
      <c r="J248" s="8" t="s">
        <v>201</v>
      </c>
      <c r="K248" s="8">
        <v>4080</v>
      </c>
      <c r="L248" s="11">
        <v>4080</v>
      </c>
      <c r="M248" s="8" t="s">
        <v>66</v>
      </c>
      <c r="N248" s="8" t="s">
        <v>13</v>
      </c>
      <c r="O248" s="8" t="s">
        <v>742</v>
      </c>
      <c r="P248" t="s">
        <v>230</v>
      </c>
      <c r="Q248" t="s">
        <v>68</v>
      </c>
      <c r="R248" t="s">
        <v>96</v>
      </c>
    </row>
    <row r="249" spans="1:18">
      <c r="A249" s="38">
        <v>45504</v>
      </c>
      <c r="B249" s="8" t="s">
        <v>740</v>
      </c>
      <c r="C249" s="8" t="s">
        <v>230</v>
      </c>
      <c r="D249" s="8" t="s">
        <v>68</v>
      </c>
      <c r="E249" s="8" t="s">
        <v>32</v>
      </c>
      <c r="F249" s="18">
        <v>11</v>
      </c>
      <c r="G249" s="8" t="s">
        <v>743</v>
      </c>
      <c r="H249" s="8" t="s">
        <v>34</v>
      </c>
      <c r="I249" s="8" t="s">
        <v>35</v>
      </c>
      <c r="J249" s="8" t="s">
        <v>36</v>
      </c>
      <c r="K249" s="8">
        <v>800</v>
      </c>
      <c r="L249" s="19">
        <v>800</v>
      </c>
      <c r="M249" s="8" t="s">
        <v>43</v>
      </c>
      <c r="N249" s="8" t="s">
        <v>52</v>
      </c>
      <c r="O249" s="8" t="s">
        <v>744</v>
      </c>
      <c r="P249" t="s">
        <v>95</v>
      </c>
      <c r="Q249" t="s">
        <v>20</v>
      </c>
      <c r="R249" t="s">
        <v>96</v>
      </c>
    </row>
    <row r="250" spans="1:18">
      <c r="A250" s="38">
        <v>44805</v>
      </c>
      <c r="B250" s="8" t="s">
        <v>740</v>
      </c>
      <c r="C250" s="8" t="s">
        <v>230</v>
      </c>
      <c r="D250" s="8" t="s">
        <v>68</v>
      </c>
      <c r="E250" s="8" t="s">
        <v>32</v>
      </c>
      <c r="F250" s="13">
        <v>13.2916666666667</v>
      </c>
      <c r="G250" s="8" t="s">
        <v>745</v>
      </c>
      <c r="H250" s="8" t="s">
        <v>746</v>
      </c>
      <c r="I250" s="8" t="s">
        <v>747</v>
      </c>
      <c r="J250" s="8" t="s">
        <v>748</v>
      </c>
      <c r="K250" s="8">
        <v>1200</v>
      </c>
      <c r="L250" s="11">
        <v>1200</v>
      </c>
      <c r="M250" s="8" t="s">
        <v>51</v>
      </c>
      <c r="N250" s="8" t="s">
        <v>13</v>
      </c>
      <c r="O250" s="8" t="s">
        <v>749</v>
      </c>
      <c r="P250" t="s">
        <v>750</v>
      </c>
      <c r="Q250" t="s">
        <v>20</v>
      </c>
      <c r="R250" t="s">
        <v>84</v>
      </c>
    </row>
    <row r="251" spans="1:18">
      <c r="A251" s="38">
        <v>44880</v>
      </c>
      <c r="B251" s="8" t="s">
        <v>751</v>
      </c>
      <c r="C251" s="8" t="s">
        <v>140</v>
      </c>
      <c r="D251" s="8" t="s">
        <v>20</v>
      </c>
      <c r="E251" s="8" t="s">
        <v>32</v>
      </c>
      <c r="F251" s="13">
        <v>6.875</v>
      </c>
      <c r="G251" s="8" t="s">
        <v>752</v>
      </c>
      <c r="H251" s="8" t="s">
        <v>182</v>
      </c>
      <c r="I251" s="8" t="s">
        <v>182</v>
      </c>
      <c r="J251" s="8" t="s">
        <v>25</v>
      </c>
      <c r="K251" s="8">
        <v>1600</v>
      </c>
      <c r="L251" s="11">
        <v>1600</v>
      </c>
      <c r="M251" s="8" t="s">
        <v>43</v>
      </c>
      <c r="N251" s="8" t="s">
        <v>13</v>
      </c>
      <c r="O251" s="8" t="s">
        <v>753</v>
      </c>
      <c r="P251" t="s">
        <v>320</v>
      </c>
      <c r="Q251" t="s">
        <v>20</v>
      </c>
      <c r="R251" t="s">
        <v>84</v>
      </c>
    </row>
    <row r="252" spans="1:18">
      <c r="A252" s="38">
        <v>44866</v>
      </c>
      <c r="B252" s="8" t="s">
        <v>751</v>
      </c>
      <c r="C252" s="8" t="s">
        <v>140</v>
      </c>
      <c r="D252" s="8" t="s">
        <v>20</v>
      </c>
      <c r="E252" s="8" t="s">
        <v>32</v>
      </c>
      <c r="F252" s="13">
        <v>6.875</v>
      </c>
      <c r="G252" s="8" t="s">
        <v>754</v>
      </c>
      <c r="H252" s="8" t="s">
        <v>42</v>
      </c>
      <c r="I252" s="8" t="s">
        <v>42</v>
      </c>
      <c r="J252" s="8" t="s">
        <v>25</v>
      </c>
      <c r="K252" s="8">
        <v>1600</v>
      </c>
      <c r="L252" s="11">
        <v>1600</v>
      </c>
      <c r="M252" s="8" t="s">
        <v>43</v>
      </c>
      <c r="N252" s="8" t="s">
        <v>52</v>
      </c>
      <c r="O252" s="8" t="s">
        <v>755</v>
      </c>
      <c r="P252" t="s">
        <v>230</v>
      </c>
      <c r="Q252" t="s">
        <v>68</v>
      </c>
      <c r="R252" t="s">
        <v>96</v>
      </c>
    </row>
    <row r="253" spans="1:18">
      <c r="A253" s="38">
        <v>44621</v>
      </c>
      <c r="B253" s="8" t="s">
        <v>756</v>
      </c>
      <c r="C253" s="8" t="s">
        <v>265</v>
      </c>
      <c r="D253" s="8" t="s">
        <v>235</v>
      </c>
      <c r="E253" s="8" t="s">
        <v>21</v>
      </c>
      <c r="F253" s="10">
        <v>6.8</v>
      </c>
      <c r="G253" s="8" t="s">
        <v>757</v>
      </c>
      <c r="H253" s="8" t="s">
        <v>79</v>
      </c>
      <c r="I253" s="8" t="s">
        <v>80</v>
      </c>
      <c r="J253" s="8" t="s">
        <v>81</v>
      </c>
      <c r="K253" s="8">
        <v>214.59013649</v>
      </c>
      <c r="L253" s="11">
        <v>214.59013649</v>
      </c>
      <c r="M253" s="8" t="s">
        <v>245</v>
      </c>
      <c r="N253" s="8" t="s">
        <v>52</v>
      </c>
      <c r="O253" s="8" t="s">
        <v>758</v>
      </c>
      <c r="P253" t="s">
        <v>47</v>
      </c>
      <c r="Q253" t="s">
        <v>20</v>
      </c>
      <c r="R253" t="s">
        <v>45</v>
      </c>
    </row>
    <row r="254" spans="1:18">
      <c r="A254" s="38">
        <v>45524</v>
      </c>
      <c r="B254" s="8" t="s">
        <v>759</v>
      </c>
      <c r="C254" s="8" t="s">
        <v>122</v>
      </c>
      <c r="D254" s="8" t="s">
        <v>123</v>
      </c>
      <c r="E254" s="8" t="s">
        <v>32</v>
      </c>
      <c r="F254" s="13">
        <v>7.79166666666667</v>
      </c>
      <c r="G254" s="8" t="s">
        <v>760</v>
      </c>
      <c r="H254" s="8" t="s">
        <v>331</v>
      </c>
      <c r="I254" s="8" t="s">
        <v>35</v>
      </c>
      <c r="J254" s="8" t="s">
        <v>36</v>
      </c>
      <c r="K254" s="8">
        <v>6000</v>
      </c>
      <c r="L254" s="11">
        <v>6000</v>
      </c>
      <c r="M254" s="8" t="s">
        <v>26</v>
      </c>
      <c r="N254" s="8" t="s">
        <v>13</v>
      </c>
      <c r="O254" s="8" t="s">
        <v>761</v>
      </c>
      <c r="P254" t="s">
        <v>122</v>
      </c>
      <c r="Q254" t="s">
        <v>68</v>
      </c>
      <c r="R254" t="s">
        <v>54</v>
      </c>
    </row>
    <row r="255" spans="1:18">
      <c r="A255" s="38">
        <v>44585</v>
      </c>
      <c r="B255" s="8" t="s">
        <v>344</v>
      </c>
      <c r="C255" s="8" t="s">
        <v>140</v>
      </c>
      <c r="D255" s="8" t="s">
        <v>20</v>
      </c>
      <c r="E255" s="8" t="s">
        <v>32</v>
      </c>
      <c r="F255" s="10">
        <v>12.0888888888889</v>
      </c>
      <c r="G255" s="8" t="s">
        <v>762</v>
      </c>
      <c r="H255" s="8" t="s">
        <v>171</v>
      </c>
      <c r="I255" s="8" t="s">
        <v>171</v>
      </c>
      <c r="J255" s="8" t="s">
        <v>50</v>
      </c>
      <c r="K255" s="8">
        <v>540</v>
      </c>
      <c r="L255" s="11">
        <v>540</v>
      </c>
      <c r="M255" s="8" t="s">
        <v>66</v>
      </c>
      <c r="N255" s="8" t="s">
        <v>13</v>
      </c>
      <c r="O255" s="8" t="s">
        <v>763</v>
      </c>
      <c r="P255" t="s">
        <v>28</v>
      </c>
      <c r="Q255" t="s">
        <v>120</v>
      </c>
      <c r="R255" t="s">
        <v>28</v>
      </c>
    </row>
    <row r="256" spans="1:18">
      <c r="A256" s="38">
        <v>44896</v>
      </c>
      <c r="B256" s="8" t="s">
        <v>759</v>
      </c>
      <c r="C256" s="8" t="s">
        <v>122</v>
      </c>
      <c r="D256" s="8" t="s">
        <v>123</v>
      </c>
      <c r="E256" s="8" t="s">
        <v>32</v>
      </c>
      <c r="F256" s="13">
        <v>9.16666666666667</v>
      </c>
      <c r="G256" s="8" t="s">
        <v>764</v>
      </c>
      <c r="H256" s="8" t="s">
        <v>570</v>
      </c>
      <c r="I256" s="8" t="s">
        <v>80</v>
      </c>
      <c r="J256" s="8" t="s">
        <v>81</v>
      </c>
      <c r="K256" s="8">
        <v>10000</v>
      </c>
      <c r="L256" s="11">
        <v>10000</v>
      </c>
      <c r="M256" s="8" t="s">
        <v>43</v>
      </c>
      <c r="N256" s="8" t="s">
        <v>52</v>
      </c>
      <c r="O256" s="8" t="s">
        <v>765</v>
      </c>
      <c r="P256" t="s">
        <v>30</v>
      </c>
      <c r="Q256" t="s">
        <v>31</v>
      </c>
      <c r="R256" t="s">
        <v>54</v>
      </c>
    </row>
    <row r="257" spans="1:18">
      <c r="A257" s="38">
        <v>45352</v>
      </c>
      <c r="B257" s="8" t="s">
        <v>766</v>
      </c>
      <c r="C257" s="8" t="s">
        <v>320</v>
      </c>
      <c r="D257" s="8" t="s">
        <v>20</v>
      </c>
      <c r="E257" s="8" t="s">
        <v>21</v>
      </c>
      <c r="F257" s="13">
        <v>5.68333333333333</v>
      </c>
      <c r="G257" s="8" t="s">
        <v>767</v>
      </c>
      <c r="H257" s="8" t="s">
        <v>79</v>
      </c>
      <c r="I257" s="8" t="s">
        <v>80</v>
      </c>
      <c r="J257" s="8" t="s">
        <v>81</v>
      </c>
      <c r="K257" s="8">
        <v>1217</v>
      </c>
      <c r="L257" s="11">
        <v>1217</v>
      </c>
      <c r="M257" s="8" t="s">
        <v>51</v>
      </c>
      <c r="N257" s="8" t="s">
        <v>13</v>
      </c>
      <c r="O257" s="8" t="s">
        <v>768</v>
      </c>
      <c r="P257" t="s">
        <v>234</v>
      </c>
      <c r="Q257" t="s">
        <v>31</v>
      </c>
      <c r="R257" t="s">
        <v>45</v>
      </c>
    </row>
    <row r="258" spans="1:18">
      <c r="A258" s="38">
        <v>45047</v>
      </c>
      <c r="B258" s="8" t="s">
        <v>769</v>
      </c>
      <c r="C258" s="8" t="s">
        <v>148</v>
      </c>
      <c r="D258" s="8" t="s">
        <v>57</v>
      </c>
      <c r="E258" s="8" t="s">
        <v>32</v>
      </c>
      <c r="F258" s="13">
        <v>5.95833333333333</v>
      </c>
      <c r="G258" s="8" t="s">
        <v>770</v>
      </c>
      <c r="H258" s="8" t="s">
        <v>771</v>
      </c>
      <c r="I258" s="8" t="s">
        <v>711</v>
      </c>
      <c r="J258" s="8" t="s">
        <v>161</v>
      </c>
      <c r="K258" s="8">
        <v>1200</v>
      </c>
      <c r="L258" s="11">
        <v>1200</v>
      </c>
      <c r="M258" s="8" t="s">
        <v>66</v>
      </c>
      <c r="N258" s="8" t="s">
        <v>13</v>
      </c>
      <c r="O258" s="8" t="s">
        <v>772</v>
      </c>
      <c r="P258" t="s">
        <v>495</v>
      </c>
      <c r="Q258" t="s">
        <v>111</v>
      </c>
      <c r="R258" t="s">
        <v>84</v>
      </c>
    </row>
    <row r="259" spans="1:18">
      <c r="A259" s="38">
        <v>45231</v>
      </c>
      <c r="B259" s="8" t="s">
        <v>773</v>
      </c>
      <c r="C259" s="8" t="s">
        <v>402</v>
      </c>
      <c r="D259" s="8" t="s">
        <v>134</v>
      </c>
      <c r="E259" s="8" t="s">
        <v>21</v>
      </c>
      <c r="F259" s="10">
        <v>4.71</v>
      </c>
      <c r="G259" s="8" t="s">
        <v>774</v>
      </c>
      <c r="H259" s="8" t="s">
        <v>86</v>
      </c>
      <c r="I259" s="8" t="s">
        <v>87</v>
      </c>
      <c r="J259" s="8" t="s">
        <v>88</v>
      </c>
      <c r="K259" s="8">
        <v>793.31</v>
      </c>
      <c r="L259" s="11">
        <v>793.31</v>
      </c>
      <c r="M259" s="8" t="s">
        <v>66</v>
      </c>
      <c r="N259" s="8" t="s">
        <v>13</v>
      </c>
      <c r="O259" s="8" t="s">
        <v>775</v>
      </c>
      <c r="P259" t="s">
        <v>402</v>
      </c>
      <c r="Q259" t="s">
        <v>134</v>
      </c>
      <c r="R259" t="s">
        <v>45</v>
      </c>
    </row>
    <row r="260" spans="1:18">
      <c r="A260" s="38">
        <v>45107</v>
      </c>
      <c r="B260" s="8" t="s">
        <v>466</v>
      </c>
      <c r="C260" s="8" t="s">
        <v>95</v>
      </c>
      <c r="D260" s="8" t="s">
        <v>20</v>
      </c>
      <c r="E260" s="8" t="s">
        <v>32</v>
      </c>
      <c r="F260" s="13">
        <v>7.60833333333333</v>
      </c>
      <c r="G260" s="8" t="s">
        <v>776</v>
      </c>
      <c r="H260" s="8" t="s">
        <v>165</v>
      </c>
      <c r="I260" s="8" t="s">
        <v>165</v>
      </c>
      <c r="J260" s="8" t="s">
        <v>50</v>
      </c>
      <c r="K260" s="8">
        <v>292.2</v>
      </c>
      <c r="L260" s="11">
        <v>292.2</v>
      </c>
      <c r="M260" s="8" t="s">
        <v>66</v>
      </c>
      <c r="N260" s="8" t="s">
        <v>13</v>
      </c>
      <c r="O260" s="8" t="s">
        <v>777</v>
      </c>
      <c r="P260" t="s">
        <v>95</v>
      </c>
      <c r="Q260" t="s">
        <v>20</v>
      </c>
      <c r="R260" t="s">
        <v>96</v>
      </c>
    </row>
    <row r="261" spans="1:18">
      <c r="A261" s="38">
        <v>45005</v>
      </c>
      <c r="B261" s="8" t="s">
        <v>370</v>
      </c>
      <c r="C261" s="8" t="s">
        <v>140</v>
      </c>
      <c r="D261" s="8" t="s">
        <v>20</v>
      </c>
      <c r="E261" s="8" t="s">
        <v>32</v>
      </c>
      <c r="F261" s="13">
        <v>6.41666666666667</v>
      </c>
      <c r="G261" s="8" t="s">
        <v>778</v>
      </c>
      <c r="H261" s="8" t="s">
        <v>42</v>
      </c>
      <c r="I261" s="8" t="s">
        <v>42</v>
      </c>
      <c r="J261" s="8" t="s">
        <v>25</v>
      </c>
      <c r="K261" s="8">
        <v>5400</v>
      </c>
      <c r="L261" s="11">
        <v>5400</v>
      </c>
      <c r="M261" s="8" t="s">
        <v>43</v>
      </c>
      <c r="N261" s="8" t="s">
        <v>52</v>
      </c>
      <c r="O261" s="8" t="s">
        <v>251</v>
      </c>
      <c r="P261" t="s">
        <v>95</v>
      </c>
      <c r="Q261" t="s">
        <v>20</v>
      </c>
      <c r="R261" t="s">
        <v>96</v>
      </c>
    </row>
    <row r="262" spans="1:18">
      <c r="A262" s="38">
        <v>45383</v>
      </c>
      <c r="B262" s="8" t="s">
        <v>779</v>
      </c>
      <c r="C262" s="8" t="s">
        <v>19</v>
      </c>
      <c r="D262" s="8" t="s">
        <v>20</v>
      </c>
      <c r="E262" s="8" t="s">
        <v>21</v>
      </c>
      <c r="F262" s="13">
        <v>6.23333333333333</v>
      </c>
      <c r="G262" s="8" t="s">
        <v>780</v>
      </c>
      <c r="H262" s="8" t="s">
        <v>255</v>
      </c>
      <c r="I262" s="8" t="s">
        <v>244</v>
      </c>
      <c r="J262" s="8" t="s">
        <v>88</v>
      </c>
      <c r="K262" s="8">
        <v>1900</v>
      </c>
      <c r="L262" s="11">
        <v>1900</v>
      </c>
      <c r="M262" s="8" t="s">
        <v>43</v>
      </c>
      <c r="N262" s="8" t="s">
        <v>13</v>
      </c>
      <c r="O262" s="8" t="s">
        <v>781</v>
      </c>
      <c r="P262" t="s">
        <v>28</v>
      </c>
      <c r="Q262" t="s">
        <v>271</v>
      </c>
      <c r="R262" t="s">
        <v>28</v>
      </c>
    </row>
    <row r="263" spans="1:18">
      <c r="A263" s="38">
        <v>45383</v>
      </c>
      <c r="B263" s="8" t="s">
        <v>782</v>
      </c>
      <c r="C263" s="8" t="s">
        <v>420</v>
      </c>
      <c r="D263" s="8" t="s">
        <v>39</v>
      </c>
      <c r="E263" s="8" t="s">
        <v>32</v>
      </c>
      <c r="F263" s="13">
        <v>8.25</v>
      </c>
      <c r="G263" s="8" t="s">
        <v>783</v>
      </c>
      <c r="J263" s="8" t="s">
        <v>105</v>
      </c>
      <c r="K263" s="8">
        <v>1200</v>
      </c>
      <c r="L263" s="11">
        <v>1200</v>
      </c>
      <c r="M263" s="8" t="s">
        <v>26</v>
      </c>
      <c r="N263" s="8" t="s">
        <v>13</v>
      </c>
      <c r="O263" s="8" t="s">
        <v>571</v>
      </c>
      <c r="P263" t="s">
        <v>420</v>
      </c>
      <c r="Q263" t="s">
        <v>39</v>
      </c>
      <c r="R263" t="s">
        <v>96</v>
      </c>
    </row>
    <row r="264" spans="1:18">
      <c r="A264" s="38">
        <v>45139</v>
      </c>
      <c r="B264" s="8" t="s">
        <v>782</v>
      </c>
      <c r="C264" s="8" t="s">
        <v>420</v>
      </c>
      <c r="D264" s="8" t="s">
        <v>39</v>
      </c>
      <c r="E264" s="8" t="s">
        <v>32</v>
      </c>
      <c r="F264" s="10">
        <v>7.33333333333333</v>
      </c>
      <c r="G264" s="8" t="s">
        <v>784</v>
      </c>
      <c r="H264" s="8" t="s">
        <v>103</v>
      </c>
      <c r="I264" s="8" t="s">
        <v>104</v>
      </c>
      <c r="J264" s="8" t="s">
        <v>105</v>
      </c>
      <c r="K264" s="8">
        <v>541.84</v>
      </c>
      <c r="L264" s="11">
        <v>541.84</v>
      </c>
      <c r="M264" s="8" t="s">
        <v>66</v>
      </c>
      <c r="N264" s="8" t="s">
        <v>13</v>
      </c>
      <c r="O264" s="8" t="s">
        <v>785</v>
      </c>
      <c r="P264" t="s">
        <v>420</v>
      </c>
      <c r="Q264" t="s">
        <v>39</v>
      </c>
      <c r="R264" t="s">
        <v>96</v>
      </c>
    </row>
    <row r="265" spans="1:18">
      <c r="A265" s="38">
        <v>45413</v>
      </c>
      <c r="B265" s="8" t="s">
        <v>782</v>
      </c>
      <c r="C265" s="8" t="s">
        <v>420</v>
      </c>
      <c r="D265" s="8" t="s">
        <v>39</v>
      </c>
      <c r="E265" s="8" t="s">
        <v>32</v>
      </c>
      <c r="F265" s="13">
        <v>7.79166666666667</v>
      </c>
      <c r="G265" s="8" t="s">
        <v>786</v>
      </c>
      <c r="H265" s="8" t="s">
        <v>23</v>
      </c>
      <c r="I265" s="8" t="s">
        <v>24</v>
      </c>
      <c r="J265" s="8" t="s">
        <v>25</v>
      </c>
      <c r="K265" s="8">
        <v>1000</v>
      </c>
      <c r="L265" s="11">
        <v>1000</v>
      </c>
      <c r="M265" s="8" t="s">
        <v>51</v>
      </c>
      <c r="N265" s="8" t="s">
        <v>52</v>
      </c>
      <c r="O265" s="8" t="s">
        <v>787</v>
      </c>
      <c r="P265" t="s">
        <v>30</v>
      </c>
      <c r="Q265" t="s">
        <v>31</v>
      </c>
      <c r="R265" t="s">
        <v>54</v>
      </c>
    </row>
    <row r="266" ht="28" spans="1:18">
      <c r="A266" s="38">
        <v>45170</v>
      </c>
      <c r="B266" s="8" t="s">
        <v>462</v>
      </c>
      <c r="C266" s="8" t="s">
        <v>463</v>
      </c>
      <c r="D266" s="8" t="s">
        <v>111</v>
      </c>
      <c r="E266" s="8" t="s">
        <v>21</v>
      </c>
      <c r="F266" s="10">
        <v>4.88</v>
      </c>
      <c r="G266" s="17" t="s">
        <v>788</v>
      </c>
      <c r="H266" s="8" t="s">
        <v>477</v>
      </c>
      <c r="I266" s="8" t="s">
        <v>477</v>
      </c>
      <c r="J266" s="8" t="s">
        <v>50</v>
      </c>
      <c r="K266" s="8">
        <v>3565.24</v>
      </c>
      <c r="L266" s="11">
        <v>3565.24</v>
      </c>
      <c r="M266" s="8" t="s">
        <v>43</v>
      </c>
      <c r="N266" s="8" t="s">
        <v>13</v>
      </c>
      <c r="O266" s="8" t="s">
        <v>789</v>
      </c>
      <c r="P266" t="s">
        <v>122</v>
      </c>
      <c r="Q266" t="s">
        <v>68</v>
      </c>
      <c r="R266" t="s">
        <v>54</v>
      </c>
    </row>
    <row r="267" spans="1:18">
      <c r="A267" s="38">
        <v>45400</v>
      </c>
      <c r="B267" s="8" t="s">
        <v>782</v>
      </c>
      <c r="C267" s="8" t="s">
        <v>420</v>
      </c>
      <c r="D267" s="8" t="s">
        <v>39</v>
      </c>
      <c r="E267" s="8" t="s">
        <v>32</v>
      </c>
      <c r="F267" s="13">
        <v>6.875</v>
      </c>
      <c r="G267" s="8" t="s">
        <v>790</v>
      </c>
      <c r="H267" s="8" t="s">
        <v>575</v>
      </c>
      <c r="I267" s="8" t="s">
        <v>206</v>
      </c>
      <c r="J267" s="8" t="s">
        <v>88</v>
      </c>
      <c r="K267" s="8">
        <v>3000</v>
      </c>
      <c r="L267" s="11">
        <v>3000</v>
      </c>
      <c r="M267" s="8" t="s">
        <v>43</v>
      </c>
      <c r="N267" s="8" t="s">
        <v>13</v>
      </c>
      <c r="O267" s="8" t="s">
        <v>791</v>
      </c>
      <c r="P267" t="s">
        <v>192</v>
      </c>
      <c r="Q267" t="s">
        <v>57</v>
      </c>
      <c r="R267" t="s">
        <v>96</v>
      </c>
    </row>
    <row r="268" spans="1:18">
      <c r="A268" s="38">
        <v>45474</v>
      </c>
      <c r="B268" s="8" t="s">
        <v>782</v>
      </c>
      <c r="C268" s="8" t="s">
        <v>420</v>
      </c>
      <c r="D268" s="8" t="s">
        <v>39</v>
      </c>
      <c r="E268" s="8" t="s">
        <v>32</v>
      </c>
      <c r="F268" s="18" t="s">
        <v>518</v>
      </c>
      <c r="G268" s="8" t="s">
        <v>792</v>
      </c>
      <c r="H268" s="8" t="s">
        <v>570</v>
      </c>
      <c r="I268" s="8" t="s">
        <v>80</v>
      </c>
      <c r="J268" s="8" t="s">
        <v>81</v>
      </c>
      <c r="K268" s="8">
        <v>23000</v>
      </c>
      <c r="L268" s="11">
        <v>23000</v>
      </c>
      <c r="M268" s="8" t="s">
        <v>51</v>
      </c>
      <c r="N268" s="8" t="s">
        <v>13</v>
      </c>
      <c r="O268" s="8" t="s">
        <v>793</v>
      </c>
      <c r="P268" t="s">
        <v>293</v>
      </c>
      <c r="Q268" t="s">
        <v>39</v>
      </c>
      <c r="R268" t="s">
        <v>62</v>
      </c>
    </row>
    <row r="269" spans="1:18">
      <c r="A269" s="38">
        <v>45078</v>
      </c>
      <c r="B269" s="8" t="s">
        <v>782</v>
      </c>
      <c r="C269" s="8" t="s">
        <v>420</v>
      </c>
      <c r="D269" s="8" t="s">
        <v>39</v>
      </c>
      <c r="E269" s="8" t="s">
        <v>32</v>
      </c>
      <c r="F269" s="10">
        <v>7.4</v>
      </c>
      <c r="G269" s="8" t="s">
        <v>794</v>
      </c>
      <c r="H269" s="8" t="s">
        <v>795</v>
      </c>
      <c r="I269" s="8" t="s">
        <v>384</v>
      </c>
      <c r="J269" s="8" t="s">
        <v>385</v>
      </c>
      <c r="K269" s="8">
        <v>1081.26</v>
      </c>
      <c r="L269" s="11">
        <v>1081.26</v>
      </c>
      <c r="M269" s="8" t="s">
        <v>26</v>
      </c>
      <c r="N269" s="8" t="s">
        <v>13</v>
      </c>
      <c r="O269" s="8" t="s">
        <v>796</v>
      </c>
      <c r="P269" t="s">
        <v>797</v>
      </c>
      <c r="Q269" t="s">
        <v>151</v>
      </c>
      <c r="R269" t="s">
        <v>84</v>
      </c>
    </row>
    <row r="270" spans="1:18">
      <c r="A270" s="38">
        <v>44896</v>
      </c>
      <c r="B270" s="8" t="s">
        <v>798</v>
      </c>
      <c r="C270" s="8" t="s">
        <v>799</v>
      </c>
      <c r="D270" s="8" t="s">
        <v>39</v>
      </c>
      <c r="E270" s="8" t="s">
        <v>21</v>
      </c>
      <c r="F270" s="13">
        <v>5.04166666666667</v>
      </c>
      <c r="G270" s="8" t="s">
        <v>800</v>
      </c>
      <c r="H270" s="8" t="s">
        <v>597</v>
      </c>
      <c r="I270" s="8" t="s">
        <v>92</v>
      </c>
      <c r="J270" s="8" t="s">
        <v>93</v>
      </c>
      <c r="K270" s="8">
        <v>1000</v>
      </c>
      <c r="L270" s="11">
        <v>1000</v>
      </c>
      <c r="M270" s="8" t="s">
        <v>51</v>
      </c>
      <c r="N270" s="8" t="s">
        <v>13</v>
      </c>
      <c r="O270" s="8" t="s">
        <v>801</v>
      </c>
      <c r="P270" t="s">
        <v>28</v>
      </c>
      <c r="Q270" t="s">
        <v>151</v>
      </c>
      <c r="R270" t="s">
        <v>28</v>
      </c>
    </row>
    <row r="271" spans="1:18">
      <c r="A271" s="38">
        <v>45383</v>
      </c>
      <c r="B271" s="8" t="s">
        <v>802</v>
      </c>
      <c r="C271" s="8" t="s">
        <v>56</v>
      </c>
      <c r="D271" s="8" t="s">
        <v>39</v>
      </c>
      <c r="E271" s="8" t="s">
        <v>21</v>
      </c>
      <c r="F271" s="13">
        <v>4.58333333333333</v>
      </c>
      <c r="G271" s="8" t="s">
        <v>803</v>
      </c>
      <c r="H271" s="8" t="s">
        <v>430</v>
      </c>
      <c r="I271" s="8" t="s">
        <v>430</v>
      </c>
      <c r="J271" s="8" t="s">
        <v>88</v>
      </c>
      <c r="K271" s="8">
        <v>3000</v>
      </c>
      <c r="L271" s="11">
        <v>3000</v>
      </c>
      <c r="M271" s="8" t="s">
        <v>51</v>
      </c>
      <c r="N271" s="8" t="s">
        <v>13</v>
      </c>
      <c r="O271" s="8" t="s">
        <v>804</v>
      </c>
      <c r="P271" t="s">
        <v>293</v>
      </c>
      <c r="Q271" t="s">
        <v>39</v>
      </c>
      <c r="R271" t="s">
        <v>62</v>
      </c>
    </row>
    <row r="272" spans="1:18">
      <c r="A272" s="38">
        <v>45444</v>
      </c>
      <c r="B272" s="8" t="s">
        <v>805</v>
      </c>
      <c r="C272" s="8" t="s">
        <v>56</v>
      </c>
      <c r="D272" s="8" t="s">
        <v>39</v>
      </c>
      <c r="E272" s="8" t="s">
        <v>21</v>
      </c>
      <c r="F272" s="10">
        <v>3.675</v>
      </c>
      <c r="G272" s="8" t="s">
        <v>806</v>
      </c>
      <c r="H272" s="8" t="s">
        <v>360</v>
      </c>
      <c r="I272" s="8" t="s">
        <v>99</v>
      </c>
      <c r="J272" s="8" t="s">
        <v>100</v>
      </c>
      <c r="K272" s="8">
        <v>6018.28</v>
      </c>
      <c r="L272" s="11">
        <v>6018.28</v>
      </c>
      <c r="M272" s="8" t="s">
        <v>26</v>
      </c>
      <c r="N272" s="8" t="s">
        <v>52</v>
      </c>
      <c r="O272" s="8" t="s">
        <v>178</v>
      </c>
      <c r="P272" t="s">
        <v>179</v>
      </c>
      <c r="Q272" t="s">
        <v>68</v>
      </c>
      <c r="R272" t="s">
        <v>96</v>
      </c>
    </row>
    <row r="273" spans="1:18">
      <c r="A273" s="38">
        <v>44849</v>
      </c>
      <c r="B273" s="8" t="s">
        <v>807</v>
      </c>
      <c r="C273" s="8" t="s">
        <v>179</v>
      </c>
      <c r="D273" s="8" t="s">
        <v>68</v>
      </c>
      <c r="E273" s="8" t="s">
        <v>32</v>
      </c>
      <c r="F273" s="13">
        <v>7.51666666666667</v>
      </c>
      <c r="G273" s="8" t="s">
        <v>808</v>
      </c>
      <c r="H273" s="8" t="s">
        <v>430</v>
      </c>
      <c r="I273" s="8" t="s">
        <v>430</v>
      </c>
      <c r="J273" s="8" t="s">
        <v>88</v>
      </c>
      <c r="K273" s="8">
        <v>2600</v>
      </c>
      <c r="L273" s="11">
        <v>2600</v>
      </c>
      <c r="M273" s="8" t="s">
        <v>43</v>
      </c>
      <c r="N273" s="8" t="s">
        <v>52</v>
      </c>
      <c r="O273" s="8" t="s">
        <v>809</v>
      </c>
      <c r="P273" t="s">
        <v>179</v>
      </c>
      <c r="Q273" t="s">
        <v>68</v>
      </c>
      <c r="R273" t="s">
        <v>96</v>
      </c>
    </row>
    <row r="274" spans="1:18">
      <c r="A274" s="38">
        <v>44931</v>
      </c>
      <c r="B274" s="8" t="s">
        <v>810</v>
      </c>
      <c r="C274" s="8" t="s">
        <v>320</v>
      </c>
      <c r="D274" s="8" t="s">
        <v>20</v>
      </c>
      <c r="E274" s="8" t="s">
        <v>21</v>
      </c>
      <c r="F274" s="13">
        <v>5.5</v>
      </c>
      <c r="G274" s="8" t="s">
        <v>811</v>
      </c>
      <c r="H274" s="8" t="s">
        <v>171</v>
      </c>
      <c r="I274" s="8" t="s">
        <v>171</v>
      </c>
      <c r="J274" s="8" t="s">
        <v>50</v>
      </c>
      <c r="K274" s="8">
        <v>3500</v>
      </c>
      <c r="L274" s="11">
        <v>3500</v>
      </c>
      <c r="M274" s="8" t="s">
        <v>43</v>
      </c>
      <c r="N274" s="8" t="s">
        <v>52</v>
      </c>
      <c r="O274" s="8" t="s">
        <v>251</v>
      </c>
      <c r="P274" t="s">
        <v>95</v>
      </c>
      <c r="Q274" t="s">
        <v>20</v>
      </c>
      <c r="R274" t="s">
        <v>96</v>
      </c>
    </row>
    <row r="275" spans="1:18">
      <c r="A275" s="38">
        <v>45412</v>
      </c>
      <c r="B275" s="8" t="s">
        <v>812</v>
      </c>
      <c r="C275" s="8" t="s">
        <v>234</v>
      </c>
      <c r="D275" s="8" t="s">
        <v>235</v>
      </c>
      <c r="E275" s="8" t="s">
        <v>21</v>
      </c>
      <c r="F275" s="13">
        <v>4.58333333333333</v>
      </c>
      <c r="G275" s="8" t="s">
        <v>813</v>
      </c>
      <c r="H275" s="8" t="s">
        <v>557</v>
      </c>
      <c r="I275" s="8" t="s">
        <v>378</v>
      </c>
      <c r="J275" s="8" t="s">
        <v>88</v>
      </c>
      <c r="K275" s="8">
        <v>1700</v>
      </c>
      <c r="L275" s="11">
        <v>1700</v>
      </c>
      <c r="M275" s="8" t="s">
        <v>177</v>
      </c>
      <c r="N275" s="8" t="s">
        <v>52</v>
      </c>
      <c r="O275" s="8" t="s">
        <v>814</v>
      </c>
      <c r="P275" t="s">
        <v>72</v>
      </c>
      <c r="Q275" t="s">
        <v>39</v>
      </c>
      <c r="R275" t="s">
        <v>84</v>
      </c>
    </row>
    <row r="276" spans="1:18">
      <c r="A276" s="38">
        <v>45017</v>
      </c>
      <c r="B276" s="8" t="s">
        <v>815</v>
      </c>
      <c r="C276" s="8" t="s">
        <v>140</v>
      </c>
      <c r="D276" s="8" t="s">
        <v>20</v>
      </c>
      <c r="E276" s="8" t="s">
        <v>32</v>
      </c>
      <c r="F276" s="10">
        <v>6.8</v>
      </c>
      <c r="G276" s="8" t="s">
        <v>816</v>
      </c>
      <c r="H276" s="8" t="s">
        <v>641</v>
      </c>
      <c r="I276" s="8" t="s">
        <v>406</v>
      </c>
      <c r="J276" s="8" t="s">
        <v>407</v>
      </c>
      <c r="K276" s="8">
        <v>287.485714285714</v>
      </c>
      <c r="L276" s="11">
        <v>287.485714285714</v>
      </c>
      <c r="M276" s="8" t="s">
        <v>26</v>
      </c>
      <c r="N276" s="8" t="s">
        <v>13</v>
      </c>
      <c r="O276" s="8" t="s">
        <v>318</v>
      </c>
      <c r="P276" t="s">
        <v>140</v>
      </c>
      <c r="Q276" t="s">
        <v>20</v>
      </c>
      <c r="R276" t="s">
        <v>54</v>
      </c>
    </row>
    <row r="277" spans="1:18">
      <c r="A277" s="38">
        <v>45047</v>
      </c>
      <c r="B277" s="8" t="s">
        <v>815</v>
      </c>
      <c r="C277" s="8" t="s">
        <v>140</v>
      </c>
      <c r="D277" s="8" t="s">
        <v>20</v>
      </c>
      <c r="E277" s="8" t="s">
        <v>32</v>
      </c>
      <c r="F277" s="10">
        <v>6.325</v>
      </c>
      <c r="G277" s="8" t="s">
        <v>817</v>
      </c>
      <c r="H277" s="8" t="s">
        <v>103</v>
      </c>
      <c r="I277" s="8" t="s">
        <v>104</v>
      </c>
      <c r="J277" s="8" t="s">
        <v>105</v>
      </c>
      <c r="K277" s="8">
        <v>400.45</v>
      </c>
      <c r="L277" s="11">
        <v>400.45</v>
      </c>
      <c r="M277" s="8" t="s">
        <v>66</v>
      </c>
      <c r="N277" s="8" t="s">
        <v>13</v>
      </c>
      <c r="O277" s="8" t="s">
        <v>312</v>
      </c>
      <c r="P277" t="s">
        <v>28</v>
      </c>
      <c r="Q277" t="s">
        <v>20</v>
      </c>
      <c r="R277" t="s">
        <v>28</v>
      </c>
    </row>
    <row r="278" spans="1:18">
      <c r="A278" s="38">
        <v>45323</v>
      </c>
      <c r="B278" s="8" t="s">
        <v>815</v>
      </c>
      <c r="C278" s="8" t="s">
        <v>140</v>
      </c>
      <c r="D278" s="8" t="s">
        <v>20</v>
      </c>
      <c r="E278" s="8" t="s">
        <v>32</v>
      </c>
      <c r="F278" s="13">
        <v>5.775</v>
      </c>
      <c r="G278" s="8" t="s">
        <v>818</v>
      </c>
      <c r="J278" s="8" t="s">
        <v>100</v>
      </c>
      <c r="K278" s="8">
        <v>700</v>
      </c>
      <c r="L278" s="11">
        <v>700</v>
      </c>
      <c r="M278" s="8" t="s">
        <v>66</v>
      </c>
      <c r="N278" s="8" t="s">
        <v>52</v>
      </c>
      <c r="O278" s="8" t="s">
        <v>819</v>
      </c>
      <c r="P278" t="s">
        <v>95</v>
      </c>
      <c r="Q278" t="s">
        <v>20</v>
      </c>
      <c r="R278" t="s">
        <v>96</v>
      </c>
    </row>
    <row r="279" spans="1:18">
      <c r="A279" s="38">
        <v>44809</v>
      </c>
      <c r="B279" s="8" t="s">
        <v>815</v>
      </c>
      <c r="C279" s="8" t="s">
        <v>140</v>
      </c>
      <c r="D279" s="8" t="s">
        <v>20</v>
      </c>
      <c r="E279" s="8" t="s">
        <v>32</v>
      </c>
      <c r="F279" s="13">
        <v>6.875</v>
      </c>
      <c r="G279" s="8" t="s">
        <v>820</v>
      </c>
      <c r="H279" s="8" t="s">
        <v>23</v>
      </c>
      <c r="I279" s="8" t="s">
        <v>24</v>
      </c>
      <c r="J279" s="8" t="s">
        <v>25</v>
      </c>
      <c r="K279" s="8">
        <v>330</v>
      </c>
      <c r="L279" s="11">
        <v>330</v>
      </c>
      <c r="M279" s="8" t="s">
        <v>66</v>
      </c>
      <c r="N279" s="8" t="s">
        <v>13</v>
      </c>
      <c r="O279" s="8" t="s">
        <v>821</v>
      </c>
      <c r="P279" t="s">
        <v>140</v>
      </c>
      <c r="Q279" t="s">
        <v>20</v>
      </c>
      <c r="R279" t="s">
        <v>54</v>
      </c>
    </row>
    <row r="280" spans="1:18">
      <c r="A280" s="38">
        <v>44743</v>
      </c>
      <c r="B280" s="8" t="s">
        <v>815</v>
      </c>
      <c r="C280" s="8" t="s">
        <v>140</v>
      </c>
      <c r="D280" s="8" t="s">
        <v>20</v>
      </c>
      <c r="E280" s="8" t="s">
        <v>32</v>
      </c>
      <c r="F280" s="10">
        <v>7</v>
      </c>
      <c r="G280" s="8" t="s">
        <v>822</v>
      </c>
      <c r="H280" s="8" t="s">
        <v>142</v>
      </c>
      <c r="I280" s="8" t="s">
        <v>142</v>
      </c>
      <c r="J280" s="8" t="s">
        <v>25</v>
      </c>
      <c r="K280" s="8">
        <v>829</v>
      </c>
      <c r="L280" s="11">
        <v>829</v>
      </c>
      <c r="M280" s="8" t="s">
        <v>66</v>
      </c>
      <c r="N280" s="8" t="s">
        <v>52</v>
      </c>
      <c r="O280" s="8" t="s">
        <v>823</v>
      </c>
      <c r="P280" t="s">
        <v>140</v>
      </c>
      <c r="Q280" t="s">
        <v>20</v>
      </c>
      <c r="R280" t="s">
        <v>54</v>
      </c>
    </row>
    <row r="281" spans="1:18">
      <c r="A281" s="38">
        <v>44774</v>
      </c>
      <c r="B281" s="8" t="s">
        <v>815</v>
      </c>
      <c r="C281" s="8" t="s">
        <v>140</v>
      </c>
      <c r="D281" s="8" t="s">
        <v>20</v>
      </c>
      <c r="E281" s="8" t="s">
        <v>32</v>
      </c>
      <c r="F281" s="10">
        <v>9.776</v>
      </c>
      <c r="G281" s="8" t="s">
        <v>824</v>
      </c>
      <c r="H281" s="8" t="s">
        <v>142</v>
      </c>
      <c r="I281" s="8" t="s">
        <v>142</v>
      </c>
      <c r="J281" s="8" t="s">
        <v>25</v>
      </c>
      <c r="K281" s="8">
        <v>582.47</v>
      </c>
      <c r="L281" s="11">
        <v>582.47</v>
      </c>
      <c r="M281" s="8" t="s">
        <v>66</v>
      </c>
      <c r="N281" s="8" t="s">
        <v>52</v>
      </c>
      <c r="O281" s="8" t="s">
        <v>823</v>
      </c>
      <c r="P281" t="s">
        <v>140</v>
      </c>
      <c r="Q281" t="s">
        <v>20</v>
      </c>
      <c r="R281" t="s">
        <v>54</v>
      </c>
    </row>
    <row r="282" spans="1:18">
      <c r="A282" s="38">
        <v>44562</v>
      </c>
      <c r="B282" s="8" t="s">
        <v>825</v>
      </c>
      <c r="C282" s="8" t="s">
        <v>122</v>
      </c>
      <c r="D282" s="8" t="s">
        <v>123</v>
      </c>
      <c r="E282" s="8" t="s">
        <v>32</v>
      </c>
      <c r="F282" s="13">
        <v>8.70833333333333</v>
      </c>
      <c r="G282" s="8" t="s">
        <v>826</v>
      </c>
      <c r="H282" s="8" t="s">
        <v>314</v>
      </c>
      <c r="I282" s="8" t="s">
        <v>200</v>
      </c>
      <c r="J282" s="8" t="s">
        <v>201</v>
      </c>
      <c r="K282" s="8" t="s">
        <v>827</v>
      </c>
      <c r="L282" s="11">
        <v>2000</v>
      </c>
      <c r="M282" s="8" t="s">
        <v>43</v>
      </c>
      <c r="N282" s="8" t="s">
        <v>13</v>
      </c>
      <c r="O282" s="8" t="s">
        <v>178</v>
      </c>
      <c r="P282" t="s">
        <v>179</v>
      </c>
      <c r="Q282" t="s">
        <v>68</v>
      </c>
      <c r="R282" t="s">
        <v>96</v>
      </c>
    </row>
    <row r="283" spans="1:18">
      <c r="A283" s="38">
        <v>45200</v>
      </c>
      <c r="B283" s="8" t="s">
        <v>825</v>
      </c>
      <c r="C283" s="8" t="s">
        <v>122</v>
      </c>
      <c r="D283" s="8" t="s">
        <v>123</v>
      </c>
      <c r="E283" s="8" t="s">
        <v>32</v>
      </c>
      <c r="F283" s="10">
        <v>8.29365079365079</v>
      </c>
      <c r="G283" s="8" t="s">
        <v>828</v>
      </c>
      <c r="H283" s="8" t="s">
        <v>367</v>
      </c>
      <c r="I283" s="8" t="s">
        <v>368</v>
      </c>
      <c r="J283" s="8" t="s">
        <v>88</v>
      </c>
      <c r="K283" s="8">
        <v>937.08</v>
      </c>
      <c r="L283" s="11">
        <v>937.08</v>
      </c>
      <c r="M283" s="8" t="s">
        <v>66</v>
      </c>
      <c r="N283" s="8" t="s">
        <v>52</v>
      </c>
      <c r="O283" s="8" t="s">
        <v>829</v>
      </c>
      <c r="P283" t="s">
        <v>30</v>
      </c>
      <c r="Q283" t="s">
        <v>31</v>
      </c>
      <c r="R283" t="s">
        <v>54</v>
      </c>
    </row>
    <row r="284" spans="1:18">
      <c r="A284" s="38">
        <v>44562</v>
      </c>
      <c r="B284" s="8" t="s">
        <v>830</v>
      </c>
      <c r="C284" s="8" t="s">
        <v>56</v>
      </c>
      <c r="D284" s="8" t="s">
        <v>123</v>
      </c>
      <c r="E284" s="8" t="s">
        <v>32</v>
      </c>
      <c r="F284" s="10">
        <v>7.2</v>
      </c>
      <c r="G284" s="8" t="s">
        <v>831</v>
      </c>
      <c r="H284" s="8" t="s">
        <v>239</v>
      </c>
      <c r="I284" s="8" t="s">
        <v>200</v>
      </c>
      <c r="J284" s="8" t="s">
        <v>201</v>
      </c>
      <c r="K284" s="8">
        <v>156.66</v>
      </c>
      <c r="L284" s="11">
        <v>156.66</v>
      </c>
      <c r="M284" s="8" t="s">
        <v>245</v>
      </c>
      <c r="N284" s="8" t="s">
        <v>52</v>
      </c>
      <c r="O284" s="8" t="s">
        <v>832</v>
      </c>
      <c r="P284" t="s">
        <v>397</v>
      </c>
      <c r="Q284" t="s">
        <v>188</v>
      </c>
      <c r="R284" t="s">
        <v>45</v>
      </c>
    </row>
    <row r="285" spans="1:18">
      <c r="A285" s="38">
        <v>45430</v>
      </c>
      <c r="B285" s="8" t="s">
        <v>466</v>
      </c>
      <c r="C285" s="8" t="s">
        <v>95</v>
      </c>
      <c r="D285" s="8" t="s">
        <v>20</v>
      </c>
      <c r="E285" s="8" t="s">
        <v>32</v>
      </c>
      <c r="F285" s="10">
        <v>5.5</v>
      </c>
      <c r="G285" s="8" t="s">
        <v>833</v>
      </c>
      <c r="H285" s="8" t="s">
        <v>165</v>
      </c>
      <c r="I285" s="8" t="s">
        <v>165</v>
      </c>
      <c r="J285" s="8" t="s">
        <v>50</v>
      </c>
      <c r="K285" s="8">
        <v>300</v>
      </c>
      <c r="L285" s="11">
        <v>300</v>
      </c>
      <c r="M285" s="8" t="s">
        <v>51</v>
      </c>
      <c r="N285" s="8" t="s">
        <v>52</v>
      </c>
      <c r="O285" s="8" t="s">
        <v>834</v>
      </c>
      <c r="P285" t="s">
        <v>28</v>
      </c>
      <c r="Q285" t="s">
        <v>31</v>
      </c>
      <c r="R285" t="s">
        <v>28</v>
      </c>
    </row>
    <row r="286" spans="1:18">
      <c r="A286" s="38">
        <v>45383</v>
      </c>
      <c r="B286" s="8" t="s">
        <v>472</v>
      </c>
      <c r="C286" s="8" t="s">
        <v>463</v>
      </c>
      <c r="D286" s="8" t="s">
        <v>111</v>
      </c>
      <c r="E286" s="8" t="s">
        <v>21</v>
      </c>
      <c r="F286" s="10">
        <v>4.75</v>
      </c>
      <c r="G286" s="8" t="s">
        <v>835</v>
      </c>
      <c r="H286" s="8" t="s">
        <v>255</v>
      </c>
      <c r="I286" s="8" t="s">
        <v>244</v>
      </c>
      <c r="J286" s="8" t="s">
        <v>88</v>
      </c>
      <c r="K286" s="8">
        <v>2214.18971505</v>
      </c>
      <c r="L286" s="11">
        <v>2214.18971505</v>
      </c>
      <c r="M286" s="8" t="s">
        <v>212</v>
      </c>
      <c r="N286" s="8" t="s">
        <v>52</v>
      </c>
      <c r="O286" s="8" t="s">
        <v>836</v>
      </c>
      <c r="P286" t="s">
        <v>122</v>
      </c>
      <c r="Q286" t="s">
        <v>68</v>
      </c>
      <c r="R286" t="s">
        <v>54</v>
      </c>
    </row>
    <row r="287" spans="1:18">
      <c r="A287" s="38">
        <v>44986</v>
      </c>
      <c r="B287" s="8" t="s">
        <v>759</v>
      </c>
      <c r="C287" s="8" t="s">
        <v>122</v>
      </c>
      <c r="D287" s="8" t="s">
        <v>123</v>
      </c>
      <c r="E287" s="8" t="s">
        <v>32</v>
      </c>
      <c r="F287" s="13">
        <v>9.16666666666667</v>
      </c>
      <c r="G287" s="8" t="s">
        <v>837</v>
      </c>
      <c r="H287" s="8" t="s">
        <v>165</v>
      </c>
      <c r="I287" s="8" t="s">
        <v>165</v>
      </c>
      <c r="J287" s="8" t="s">
        <v>50</v>
      </c>
      <c r="K287" s="8">
        <v>4500</v>
      </c>
      <c r="L287" s="11">
        <v>4500</v>
      </c>
      <c r="M287" s="8" t="s">
        <v>43</v>
      </c>
      <c r="N287" s="8" t="s">
        <v>13</v>
      </c>
      <c r="O287" s="8" t="s">
        <v>838</v>
      </c>
      <c r="P287" t="s">
        <v>230</v>
      </c>
      <c r="Q287" t="s">
        <v>68</v>
      </c>
      <c r="R287" t="s">
        <v>96</v>
      </c>
    </row>
    <row r="288" spans="1:18">
      <c r="A288" s="38">
        <v>44896</v>
      </c>
      <c r="B288" s="8" t="s">
        <v>472</v>
      </c>
      <c r="C288" s="8" t="s">
        <v>463</v>
      </c>
      <c r="D288" s="8" t="s">
        <v>111</v>
      </c>
      <c r="E288" s="8" t="s">
        <v>21</v>
      </c>
      <c r="F288" s="13">
        <v>7.79166666666667</v>
      </c>
      <c r="G288" s="8" t="s">
        <v>839</v>
      </c>
      <c r="H288" s="8" t="s">
        <v>86</v>
      </c>
      <c r="I288" s="8" t="s">
        <v>87</v>
      </c>
      <c r="J288" s="8" t="s">
        <v>88</v>
      </c>
      <c r="K288" s="8">
        <v>200</v>
      </c>
      <c r="L288" s="11">
        <v>200</v>
      </c>
      <c r="M288" s="8" t="s">
        <v>51</v>
      </c>
      <c r="N288" s="8" t="s">
        <v>52</v>
      </c>
      <c r="O288" s="8" t="s">
        <v>840</v>
      </c>
      <c r="P288" t="s">
        <v>95</v>
      </c>
      <c r="Q288" t="s">
        <v>20</v>
      </c>
      <c r="R288" t="s">
        <v>96</v>
      </c>
    </row>
    <row r="289" spans="1:18">
      <c r="A289" s="38">
        <v>44624</v>
      </c>
      <c r="B289" s="8" t="s">
        <v>139</v>
      </c>
      <c r="C289" s="8" t="s">
        <v>140</v>
      </c>
      <c r="D289" s="8" t="s">
        <v>20</v>
      </c>
      <c r="E289" s="8" t="s">
        <v>32</v>
      </c>
      <c r="F289" s="13">
        <v>13.2916666666667</v>
      </c>
      <c r="G289" s="8" t="s">
        <v>841</v>
      </c>
      <c r="H289" s="8" t="s">
        <v>171</v>
      </c>
      <c r="I289" s="8" t="s">
        <v>171</v>
      </c>
      <c r="J289" s="8" t="s">
        <v>50</v>
      </c>
      <c r="K289" s="8">
        <v>2000</v>
      </c>
      <c r="L289" s="11">
        <v>2000</v>
      </c>
      <c r="M289" s="8" t="s">
        <v>26</v>
      </c>
      <c r="N289" s="8" t="s">
        <v>52</v>
      </c>
      <c r="O289" s="8" t="s">
        <v>445</v>
      </c>
      <c r="P289" t="s">
        <v>30</v>
      </c>
      <c r="Q289" t="s">
        <v>31</v>
      </c>
      <c r="R289" t="s">
        <v>54</v>
      </c>
    </row>
    <row r="290" spans="1:18">
      <c r="A290" s="38">
        <v>44834</v>
      </c>
      <c r="B290" s="8" t="s">
        <v>459</v>
      </c>
      <c r="C290" s="8" t="s">
        <v>140</v>
      </c>
      <c r="D290" s="8" t="s">
        <v>20</v>
      </c>
      <c r="E290" s="8" t="s">
        <v>32</v>
      </c>
      <c r="F290" s="13">
        <v>7.79166666666667</v>
      </c>
      <c r="G290" s="8" t="s">
        <v>842</v>
      </c>
      <c r="H290" s="8" t="s">
        <v>843</v>
      </c>
      <c r="I290" s="8" t="s">
        <v>843</v>
      </c>
      <c r="J290" s="8" t="s">
        <v>25</v>
      </c>
      <c r="K290" s="8">
        <v>1000</v>
      </c>
      <c r="L290" s="11">
        <v>1000</v>
      </c>
      <c r="M290" s="8" t="s">
        <v>51</v>
      </c>
      <c r="N290" s="8" t="s">
        <v>52</v>
      </c>
      <c r="O290" s="8" t="s">
        <v>326</v>
      </c>
      <c r="P290" t="s">
        <v>95</v>
      </c>
      <c r="Q290" t="s">
        <v>20</v>
      </c>
      <c r="R290" t="s">
        <v>96</v>
      </c>
    </row>
    <row r="291" spans="1:18">
      <c r="A291" s="38">
        <v>44593</v>
      </c>
      <c r="B291" s="8" t="s">
        <v>459</v>
      </c>
      <c r="C291" s="8" t="s">
        <v>140</v>
      </c>
      <c r="D291" s="8" t="s">
        <v>20</v>
      </c>
      <c r="E291" s="8" t="s">
        <v>32</v>
      </c>
      <c r="F291" s="13">
        <v>8.98333333333333</v>
      </c>
      <c r="G291" s="8" t="s">
        <v>844</v>
      </c>
      <c r="H291" s="8" t="s">
        <v>23</v>
      </c>
      <c r="I291" s="8" t="s">
        <v>24</v>
      </c>
      <c r="J291" s="8" t="s">
        <v>25</v>
      </c>
      <c r="K291" s="8">
        <v>2189</v>
      </c>
      <c r="L291" s="11">
        <v>2189</v>
      </c>
      <c r="M291" s="8" t="s">
        <v>43</v>
      </c>
      <c r="N291" s="8" t="s">
        <v>52</v>
      </c>
      <c r="O291" s="8" t="s">
        <v>845</v>
      </c>
      <c r="P291" t="s">
        <v>234</v>
      </c>
      <c r="Q291" t="s">
        <v>31</v>
      </c>
      <c r="R291" t="s">
        <v>45</v>
      </c>
    </row>
    <row r="292" spans="1:18">
      <c r="A292" s="38">
        <v>44946</v>
      </c>
      <c r="B292" s="8" t="s">
        <v>459</v>
      </c>
      <c r="C292" s="8" t="s">
        <v>140</v>
      </c>
      <c r="D292" s="8" t="s">
        <v>20</v>
      </c>
      <c r="E292" s="8" t="s">
        <v>32</v>
      </c>
      <c r="F292" s="13">
        <v>7.33333333333333</v>
      </c>
      <c r="G292" s="8" t="s">
        <v>846</v>
      </c>
      <c r="H292" s="8" t="s">
        <v>185</v>
      </c>
      <c r="I292" s="8" t="s">
        <v>185</v>
      </c>
      <c r="J292" s="8" t="s">
        <v>25</v>
      </c>
      <c r="K292" s="8">
        <v>750</v>
      </c>
      <c r="L292" s="11">
        <v>750</v>
      </c>
      <c r="M292" s="8" t="s">
        <v>43</v>
      </c>
      <c r="N292" s="8" t="s">
        <v>13</v>
      </c>
      <c r="O292" s="8" t="s">
        <v>419</v>
      </c>
      <c r="P292" t="s">
        <v>420</v>
      </c>
      <c r="Q292" t="s">
        <v>39</v>
      </c>
      <c r="R292" t="s">
        <v>96</v>
      </c>
    </row>
    <row r="293" spans="1:18">
      <c r="A293" s="38">
        <v>45457</v>
      </c>
      <c r="B293" s="8" t="s">
        <v>281</v>
      </c>
      <c r="C293" s="8" t="s">
        <v>72</v>
      </c>
      <c r="D293" s="8" t="s">
        <v>39</v>
      </c>
      <c r="E293" s="8" t="s">
        <v>21</v>
      </c>
      <c r="F293" s="13">
        <v>5.5</v>
      </c>
      <c r="G293" s="8" t="s">
        <v>847</v>
      </c>
      <c r="H293" s="8" t="s">
        <v>59</v>
      </c>
      <c r="I293" s="8" t="s">
        <v>59</v>
      </c>
      <c r="J293" s="8" t="s">
        <v>25</v>
      </c>
      <c r="K293" s="8">
        <v>1500</v>
      </c>
      <c r="L293" s="11">
        <v>1500</v>
      </c>
      <c r="M293" s="8" t="s">
        <v>26</v>
      </c>
      <c r="N293" s="8" t="s">
        <v>13</v>
      </c>
      <c r="O293" s="8" t="s">
        <v>848</v>
      </c>
      <c r="P293" t="s">
        <v>72</v>
      </c>
      <c r="Q293" t="s">
        <v>39</v>
      </c>
      <c r="R293" t="s">
        <v>84</v>
      </c>
    </row>
    <row r="294" spans="1:18">
      <c r="A294" s="38">
        <v>45139</v>
      </c>
      <c r="B294" s="8" t="s">
        <v>281</v>
      </c>
      <c r="C294" s="8" t="s">
        <v>72</v>
      </c>
      <c r="D294" s="8" t="s">
        <v>39</v>
      </c>
      <c r="E294" s="8" t="s">
        <v>21</v>
      </c>
      <c r="F294" s="10">
        <v>7.17777777777778</v>
      </c>
      <c r="G294" s="8" t="s">
        <v>849</v>
      </c>
      <c r="H294" s="8" t="s">
        <v>185</v>
      </c>
      <c r="I294" s="8" t="s">
        <v>185</v>
      </c>
      <c r="J294" s="8" t="s">
        <v>25</v>
      </c>
      <c r="K294" s="8">
        <v>1054.31</v>
      </c>
      <c r="L294" s="11">
        <v>1054.31</v>
      </c>
      <c r="M294" s="8" t="s">
        <v>66</v>
      </c>
      <c r="N294" s="8" t="s">
        <v>13</v>
      </c>
      <c r="O294" s="8" t="s">
        <v>850</v>
      </c>
      <c r="P294" t="s">
        <v>28</v>
      </c>
      <c r="Q294" t="s">
        <v>39</v>
      </c>
      <c r="R294" t="s">
        <v>28</v>
      </c>
    </row>
    <row r="295" spans="1:18">
      <c r="A295" s="38">
        <v>45139</v>
      </c>
      <c r="B295" s="8" t="s">
        <v>281</v>
      </c>
      <c r="C295" s="8" t="s">
        <v>72</v>
      </c>
      <c r="D295" s="8" t="s">
        <v>39</v>
      </c>
      <c r="E295" s="8" t="s">
        <v>21</v>
      </c>
      <c r="F295" s="13">
        <v>6.875</v>
      </c>
      <c r="G295" s="8" t="s">
        <v>851</v>
      </c>
      <c r="H295" s="8" t="s">
        <v>59</v>
      </c>
      <c r="I295" s="8" t="s">
        <v>59</v>
      </c>
      <c r="J295" s="8" t="s">
        <v>25</v>
      </c>
      <c r="K295" s="8">
        <v>1200</v>
      </c>
      <c r="L295" s="11">
        <v>1200</v>
      </c>
      <c r="M295" s="8" t="s">
        <v>43</v>
      </c>
      <c r="N295" s="8" t="s">
        <v>13</v>
      </c>
      <c r="O295" s="8" t="s">
        <v>733</v>
      </c>
      <c r="P295" t="s">
        <v>28</v>
      </c>
      <c r="Q295" t="s">
        <v>39</v>
      </c>
      <c r="R295" t="s">
        <v>28</v>
      </c>
    </row>
    <row r="296" spans="1:18">
      <c r="A296" s="38">
        <v>45056</v>
      </c>
      <c r="B296" s="8" t="s">
        <v>281</v>
      </c>
      <c r="C296" s="8" t="s">
        <v>72</v>
      </c>
      <c r="D296" s="8" t="s">
        <v>39</v>
      </c>
      <c r="E296" s="8" t="s">
        <v>21</v>
      </c>
      <c r="F296" s="13">
        <v>6.41666666666667</v>
      </c>
      <c r="G296" s="8" t="s">
        <v>852</v>
      </c>
      <c r="H296" s="8" t="s">
        <v>185</v>
      </c>
      <c r="I296" s="8" t="s">
        <v>185</v>
      </c>
      <c r="J296" s="8" t="s">
        <v>25</v>
      </c>
      <c r="K296" s="8">
        <v>1000</v>
      </c>
      <c r="L296" s="11">
        <v>1000</v>
      </c>
      <c r="M296" s="8" t="s">
        <v>43</v>
      </c>
      <c r="N296" s="8" t="s">
        <v>13</v>
      </c>
      <c r="O296" s="8" t="s">
        <v>853</v>
      </c>
      <c r="P296" t="s">
        <v>179</v>
      </c>
      <c r="Q296" t="s">
        <v>68</v>
      </c>
      <c r="R296" t="s">
        <v>96</v>
      </c>
    </row>
    <row r="297" spans="1:18">
      <c r="A297" s="38">
        <v>44895</v>
      </c>
      <c r="B297" s="8" t="s">
        <v>516</v>
      </c>
      <c r="C297" s="8" t="s">
        <v>517</v>
      </c>
      <c r="D297" s="8" t="s">
        <v>235</v>
      </c>
      <c r="E297" s="8" t="s">
        <v>21</v>
      </c>
      <c r="F297" s="13">
        <v>7.15</v>
      </c>
      <c r="G297" s="8" t="s">
        <v>854</v>
      </c>
      <c r="H297" s="8" t="s">
        <v>171</v>
      </c>
      <c r="I297" s="8" t="s">
        <v>171</v>
      </c>
      <c r="J297" s="8" t="s">
        <v>50</v>
      </c>
      <c r="K297" s="8">
        <v>1600</v>
      </c>
      <c r="L297" s="11">
        <v>1600</v>
      </c>
      <c r="M297" s="8" t="s">
        <v>43</v>
      </c>
      <c r="N297" s="8" t="s">
        <v>52</v>
      </c>
      <c r="O297" s="8" t="s">
        <v>855</v>
      </c>
      <c r="P297" t="s">
        <v>30</v>
      </c>
      <c r="Q297" t="s">
        <v>31</v>
      </c>
      <c r="R297" t="s">
        <v>54</v>
      </c>
    </row>
    <row r="298" spans="1:18">
      <c r="A298" s="38">
        <v>44743</v>
      </c>
      <c r="B298" s="8" t="s">
        <v>543</v>
      </c>
      <c r="C298" s="8" t="s">
        <v>140</v>
      </c>
      <c r="D298" s="8" t="s">
        <v>20</v>
      </c>
      <c r="E298" s="8" t="s">
        <v>32</v>
      </c>
      <c r="F298" s="10">
        <v>8.32291666666667</v>
      </c>
      <c r="G298" s="8" t="s">
        <v>856</v>
      </c>
      <c r="H298" s="8" t="s">
        <v>165</v>
      </c>
      <c r="I298" s="8" t="s">
        <v>165</v>
      </c>
      <c r="J298" s="8" t="s">
        <v>50</v>
      </c>
      <c r="K298" s="8">
        <v>2550.91</v>
      </c>
      <c r="L298" s="11">
        <v>2550.91</v>
      </c>
      <c r="M298" s="8" t="s">
        <v>43</v>
      </c>
      <c r="N298" s="8" t="s">
        <v>52</v>
      </c>
      <c r="O298" s="8" t="s">
        <v>787</v>
      </c>
      <c r="P298" t="s">
        <v>30</v>
      </c>
      <c r="Q298" t="s">
        <v>31</v>
      </c>
      <c r="R298" t="s">
        <v>54</v>
      </c>
    </row>
    <row r="299" spans="1:18">
      <c r="A299" s="38">
        <v>45108</v>
      </c>
      <c r="B299" s="8" t="s">
        <v>281</v>
      </c>
      <c r="C299" s="8" t="s">
        <v>72</v>
      </c>
      <c r="D299" s="8" t="s">
        <v>39</v>
      </c>
      <c r="E299" s="8" t="s">
        <v>21</v>
      </c>
      <c r="F299" s="10">
        <v>6.1015625</v>
      </c>
      <c r="G299" s="8" t="s">
        <v>857</v>
      </c>
      <c r="H299" s="8" t="s">
        <v>59</v>
      </c>
      <c r="I299" s="8" t="s">
        <v>59</v>
      </c>
      <c r="J299" s="8" t="s">
        <v>25</v>
      </c>
      <c r="K299" s="8">
        <v>2423.97</v>
      </c>
      <c r="L299" s="11">
        <v>2423.97</v>
      </c>
      <c r="M299" s="8" t="s">
        <v>51</v>
      </c>
      <c r="N299" s="8" t="s">
        <v>13</v>
      </c>
      <c r="O299" s="8" t="s">
        <v>858</v>
      </c>
      <c r="P299" t="s">
        <v>28</v>
      </c>
      <c r="Q299" t="s">
        <v>20</v>
      </c>
    </row>
    <row r="300" spans="1:18">
      <c r="A300" s="38">
        <v>45352.5699884259</v>
      </c>
      <c r="B300" s="8" t="s">
        <v>281</v>
      </c>
      <c r="C300" s="8" t="s">
        <v>72</v>
      </c>
      <c r="D300" s="8" t="s">
        <v>39</v>
      </c>
      <c r="E300" s="8" t="s">
        <v>21</v>
      </c>
      <c r="F300" s="10">
        <v>6.65625</v>
      </c>
      <c r="G300" s="8" t="s">
        <v>859</v>
      </c>
      <c r="H300" s="8" t="s">
        <v>185</v>
      </c>
      <c r="I300" s="8" t="s">
        <v>185</v>
      </c>
      <c r="J300" s="8" t="s">
        <v>25</v>
      </c>
      <c r="K300" s="8">
        <v>808.06</v>
      </c>
      <c r="L300" s="11">
        <v>808.06</v>
      </c>
      <c r="M300" s="8" t="s">
        <v>43</v>
      </c>
      <c r="N300" s="8" t="s">
        <v>52</v>
      </c>
      <c r="O300" s="8" t="s">
        <v>860</v>
      </c>
      <c r="P300" t="s">
        <v>19</v>
      </c>
      <c r="Q300" t="s">
        <v>20</v>
      </c>
      <c r="R300" t="s">
        <v>45</v>
      </c>
    </row>
    <row r="301" spans="1:18">
      <c r="A301" s="38">
        <v>44593</v>
      </c>
      <c r="B301" s="8" t="s">
        <v>599</v>
      </c>
      <c r="C301" s="8" t="s">
        <v>30</v>
      </c>
      <c r="D301" s="8" t="s">
        <v>31</v>
      </c>
      <c r="E301" s="8" t="s">
        <v>32</v>
      </c>
      <c r="F301" s="13">
        <v>11</v>
      </c>
      <c r="G301" s="8" t="s">
        <v>861</v>
      </c>
      <c r="H301" s="8" t="s">
        <v>49</v>
      </c>
      <c r="I301" s="8" t="s">
        <v>49</v>
      </c>
      <c r="J301" s="8" t="s">
        <v>50</v>
      </c>
      <c r="K301" s="8">
        <v>4000</v>
      </c>
      <c r="L301" s="11">
        <v>4000</v>
      </c>
      <c r="M301" s="8" t="s">
        <v>43</v>
      </c>
      <c r="N301" s="8" t="s">
        <v>52</v>
      </c>
      <c r="O301" s="8" t="s">
        <v>862</v>
      </c>
      <c r="P301" t="s">
        <v>30</v>
      </c>
      <c r="Q301" t="s">
        <v>31</v>
      </c>
      <c r="R301" t="s">
        <v>54</v>
      </c>
    </row>
    <row r="302" spans="1:18">
      <c r="A302" s="38">
        <v>44866</v>
      </c>
      <c r="B302" s="8" t="s">
        <v>281</v>
      </c>
      <c r="C302" s="8" t="s">
        <v>72</v>
      </c>
      <c r="D302" s="8" t="s">
        <v>39</v>
      </c>
      <c r="E302" s="8" t="s">
        <v>21</v>
      </c>
      <c r="F302" s="10">
        <v>8.46486486486486</v>
      </c>
      <c r="G302" s="8" t="s">
        <v>863</v>
      </c>
      <c r="H302" s="8" t="s">
        <v>23</v>
      </c>
      <c r="I302" s="8" t="s">
        <v>24</v>
      </c>
      <c r="J302" s="8" t="s">
        <v>25</v>
      </c>
      <c r="K302" s="8">
        <v>247.76</v>
      </c>
      <c r="L302" s="11">
        <v>247.76</v>
      </c>
      <c r="M302" s="8" t="s">
        <v>245</v>
      </c>
      <c r="N302" s="8" t="s">
        <v>13</v>
      </c>
      <c r="O302" s="8" t="s">
        <v>864</v>
      </c>
      <c r="P302" t="s">
        <v>28</v>
      </c>
      <c r="Q302" t="s">
        <v>20</v>
      </c>
      <c r="R302" t="s">
        <v>28</v>
      </c>
    </row>
    <row r="303" spans="1:18">
      <c r="A303" s="38">
        <v>45108</v>
      </c>
      <c r="B303" s="8" t="s">
        <v>281</v>
      </c>
      <c r="C303" s="8" t="s">
        <v>72</v>
      </c>
      <c r="D303" s="8" t="s">
        <v>39</v>
      </c>
      <c r="E303" s="8" t="s">
        <v>21</v>
      </c>
      <c r="F303" s="10">
        <v>5.81538461538462</v>
      </c>
      <c r="G303" s="8" t="s">
        <v>865</v>
      </c>
      <c r="H303" s="8" t="s">
        <v>529</v>
      </c>
      <c r="I303" s="8" t="s">
        <v>126</v>
      </c>
      <c r="J303" s="8" t="s">
        <v>127</v>
      </c>
      <c r="K303" s="8">
        <v>3079.25</v>
      </c>
      <c r="L303" s="11">
        <v>3079.25</v>
      </c>
      <c r="M303" s="8" t="s">
        <v>43</v>
      </c>
      <c r="N303" s="8" t="s">
        <v>52</v>
      </c>
      <c r="O303" s="8" t="s">
        <v>866</v>
      </c>
      <c r="P303" t="s">
        <v>276</v>
      </c>
      <c r="Q303" t="s">
        <v>39</v>
      </c>
      <c r="R303" t="s">
        <v>54</v>
      </c>
    </row>
    <row r="304" spans="1:18">
      <c r="A304" s="38">
        <v>45147</v>
      </c>
      <c r="B304" s="8" t="s">
        <v>281</v>
      </c>
      <c r="C304" s="8" t="s">
        <v>72</v>
      </c>
      <c r="D304" s="8" t="s">
        <v>39</v>
      </c>
      <c r="E304" s="8" t="s">
        <v>21</v>
      </c>
      <c r="F304" s="13">
        <v>5.13333333333333</v>
      </c>
      <c r="G304" s="8" t="s">
        <v>867</v>
      </c>
      <c r="H304" s="8" t="s">
        <v>529</v>
      </c>
      <c r="I304" s="8" t="s">
        <v>126</v>
      </c>
      <c r="J304" s="8" t="s">
        <v>127</v>
      </c>
      <c r="K304" s="8">
        <v>1500</v>
      </c>
      <c r="L304" s="11">
        <v>1500</v>
      </c>
      <c r="M304" s="8" t="s">
        <v>26</v>
      </c>
      <c r="N304" s="8" t="s">
        <v>13</v>
      </c>
      <c r="O304" s="8" t="s">
        <v>868</v>
      </c>
      <c r="P304" t="s">
        <v>28</v>
      </c>
      <c r="Q304" t="s">
        <v>57</v>
      </c>
      <c r="R304" t="s">
        <v>28</v>
      </c>
    </row>
    <row r="305" spans="1:18">
      <c r="A305" s="38">
        <v>45108</v>
      </c>
      <c r="B305" s="8" t="s">
        <v>869</v>
      </c>
      <c r="C305" s="8" t="s">
        <v>95</v>
      </c>
      <c r="D305" s="8" t="s">
        <v>20</v>
      </c>
      <c r="E305" s="8" t="s">
        <v>32</v>
      </c>
      <c r="F305" s="13">
        <v>6.41666666666667</v>
      </c>
      <c r="G305" s="8" t="s">
        <v>870</v>
      </c>
      <c r="H305" s="8" t="s">
        <v>165</v>
      </c>
      <c r="I305" s="8" t="s">
        <v>165</v>
      </c>
      <c r="J305" s="8" t="s">
        <v>50</v>
      </c>
      <c r="K305" s="8">
        <v>450</v>
      </c>
      <c r="L305" s="11">
        <v>450</v>
      </c>
      <c r="M305" s="8" t="s">
        <v>75</v>
      </c>
      <c r="N305" s="8" t="s">
        <v>13</v>
      </c>
      <c r="O305" s="8" t="s">
        <v>871</v>
      </c>
      <c r="P305" t="s">
        <v>95</v>
      </c>
      <c r="Q305" t="s">
        <v>20</v>
      </c>
      <c r="R305" t="s">
        <v>96</v>
      </c>
    </row>
    <row r="306" spans="1:18">
      <c r="A306" s="38">
        <v>45078</v>
      </c>
      <c r="B306" s="8" t="s">
        <v>872</v>
      </c>
      <c r="C306" s="8" t="s">
        <v>150</v>
      </c>
      <c r="D306" s="8" t="s">
        <v>151</v>
      </c>
      <c r="E306" s="8" t="s">
        <v>21</v>
      </c>
      <c r="F306" s="10">
        <v>6.00741721854305</v>
      </c>
      <c r="G306" s="8" t="s">
        <v>873</v>
      </c>
      <c r="H306" s="8" t="s">
        <v>165</v>
      </c>
      <c r="I306" s="8" t="s">
        <v>165</v>
      </c>
      <c r="J306" s="8" t="s">
        <v>50</v>
      </c>
      <c r="K306" s="8">
        <v>268.68</v>
      </c>
      <c r="L306" s="11">
        <v>268.68</v>
      </c>
      <c r="M306" s="8" t="s">
        <v>245</v>
      </c>
      <c r="N306" s="8" t="s">
        <v>13</v>
      </c>
      <c r="O306" s="8" t="s">
        <v>874</v>
      </c>
      <c r="P306" t="s">
        <v>61</v>
      </c>
      <c r="Q306" t="s">
        <v>57</v>
      </c>
      <c r="R306" t="s">
        <v>62</v>
      </c>
    </row>
    <row r="307" spans="1:18">
      <c r="A307" s="38">
        <v>45200</v>
      </c>
      <c r="B307" s="8" t="s">
        <v>812</v>
      </c>
      <c r="C307" s="8" t="s">
        <v>234</v>
      </c>
      <c r="D307" s="8" t="s">
        <v>235</v>
      </c>
      <c r="E307" s="8" t="s">
        <v>21</v>
      </c>
      <c r="F307" s="10">
        <v>5</v>
      </c>
      <c r="G307" s="8" t="s">
        <v>875</v>
      </c>
      <c r="H307" s="8" t="s">
        <v>477</v>
      </c>
      <c r="I307" s="8" t="s">
        <v>477</v>
      </c>
      <c r="J307" s="8" t="s">
        <v>50</v>
      </c>
      <c r="K307" s="8">
        <v>1372.36</v>
      </c>
      <c r="L307" s="11">
        <v>1372.36</v>
      </c>
      <c r="M307" s="8" t="s">
        <v>26</v>
      </c>
      <c r="N307" s="8" t="s">
        <v>52</v>
      </c>
      <c r="O307" s="8" t="s">
        <v>876</v>
      </c>
      <c r="P307" t="s">
        <v>122</v>
      </c>
      <c r="Q307" t="s">
        <v>68</v>
      </c>
      <c r="R307" t="s">
        <v>54</v>
      </c>
    </row>
    <row r="308" spans="1:18">
      <c r="A308" s="38">
        <v>45170</v>
      </c>
      <c r="B308" s="8" t="s">
        <v>281</v>
      </c>
      <c r="C308" s="8" t="s">
        <v>72</v>
      </c>
      <c r="D308" s="8" t="s">
        <v>39</v>
      </c>
      <c r="E308" s="8" t="s">
        <v>21</v>
      </c>
      <c r="F308" s="13">
        <v>7.79166666666667</v>
      </c>
      <c r="G308" s="8" t="s">
        <v>877</v>
      </c>
      <c r="J308" s="8" t="s">
        <v>105</v>
      </c>
      <c r="K308" s="8">
        <v>450</v>
      </c>
      <c r="L308" s="11">
        <v>450</v>
      </c>
      <c r="M308" s="8" t="s">
        <v>26</v>
      </c>
      <c r="N308" s="8" t="s">
        <v>52</v>
      </c>
      <c r="O308" s="8" t="s">
        <v>878</v>
      </c>
      <c r="P308" t="s">
        <v>19</v>
      </c>
      <c r="Q308" t="s">
        <v>20</v>
      </c>
      <c r="R308" t="s">
        <v>45</v>
      </c>
    </row>
    <row r="309" spans="1:18">
      <c r="A309" s="38">
        <v>45473</v>
      </c>
      <c r="B309" s="8" t="s">
        <v>71</v>
      </c>
      <c r="C309" s="8" t="s">
        <v>72</v>
      </c>
      <c r="D309" s="8" t="s">
        <v>39</v>
      </c>
      <c r="E309" s="8" t="s">
        <v>21</v>
      </c>
      <c r="F309" s="13">
        <v>6.875</v>
      </c>
      <c r="G309" s="8" t="s">
        <v>879</v>
      </c>
      <c r="H309" s="8" t="s">
        <v>243</v>
      </c>
      <c r="I309" s="8" t="s">
        <v>244</v>
      </c>
      <c r="J309" s="8" t="s">
        <v>88</v>
      </c>
      <c r="K309" s="8">
        <v>2400</v>
      </c>
      <c r="L309" s="11">
        <v>2400</v>
      </c>
      <c r="M309" s="8" t="s">
        <v>43</v>
      </c>
      <c r="N309" s="8" t="s">
        <v>13</v>
      </c>
      <c r="O309" s="8" t="s">
        <v>880</v>
      </c>
      <c r="P309" t="s">
        <v>72</v>
      </c>
      <c r="Q309" t="s">
        <v>39</v>
      </c>
      <c r="R309" t="s">
        <v>84</v>
      </c>
    </row>
    <row r="310" spans="1:18">
      <c r="A310" s="38">
        <v>44896</v>
      </c>
      <c r="B310" s="8" t="s">
        <v>71</v>
      </c>
      <c r="C310" s="8" t="s">
        <v>72</v>
      </c>
      <c r="D310" s="8" t="s">
        <v>39</v>
      </c>
      <c r="E310" s="8" t="s">
        <v>21</v>
      </c>
      <c r="F310" s="10">
        <v>6.33106060606061</v>
      </c>
      <c r="G310" s="8" t="s">
        <v>881</v>
      </c>
      <c r="H310" s="8" t="s">
        <v>291</v>
      </c>
      <c r="I310" s="8" t="s">
        <v>87</v>
      </c>
      <c r="J310" s="8" t="s">
        <v>88</v>
      </c>
      <c r="K310" s="8">
        <v>2523.54</v>
      </c>
      <c r="L310" s="11">
        <v>2523.54</v>
      </c>
      <c r="M310" s="8" t="s">
        <v>43</v>
      </c>
      <c r="N310" s="8" t="s">
        <v>13</v>
      </c>
      <c r="O310" s="8" t="s">
        <v>882</v>
      </c>
      <c r="P310" t="s">
        <v>72</v>
      </c>
      <c r="Q310" t="s">
        <v>39</v>
      </c>
      <c r="R310" t="s">
        <v>84</v>
      </c>
    </row>
    <row r="311" spans="1:18">
      <c r="A311" s="38">
        <v>44986</v>
      </c>
      <c r="B311" s="8" t="s">
        <v>883</v>
      </c>
      <c r="C311" s="8" t="s">
        <v>420</v>
      </c>
      <c r="D311" s="8" t="s">
        <v>39</v>
      </c>
      <c r="E311" s="8" t="s">
        <v>32</v>
      </c>
      <c r="F311" s="10">
        <v>8.38481012658228</v>
      </c>
      <c r="G311" s="8" t="s">
        <v>884</v>
      </c>
      <c r="H311" s="8" t="s">
        <v>171</v>
      </c>
      <c r="I311" s="8" t="s">
        <v>171</v>
      </c>
      <c r="J311" s="8" t="s">
        <v>50</v>
      </c>
      <c r="K311" s="8">
        <v>341.54</v>
      </c>
      <c r="L311" s="11">
        <v>341.54</v>
      </c>
      <c r="M311" s="8" t="s">
        <v>43</v>
      </c>
      <c r="N311" s="8" t="s">
        <v>52</v>
      </c>
      <c r="O311" s="8" t="s">
        <v>876</v>
      </c>
      <c r="P311" t="s">
        <v>122</v>
      </c>
      <c r="Q311" t="s">
        <v>68</v>
      </c>
      <c r="R311" t="s">
        <v>54</v>
      </c>
    </row>
    <row r="312" spans="1:18">
      <c r="A312" s="38">
        <v>44835</v>
      </c>
      <c r="B312" s="8" t="s">
        <v>71</v>
      </c>
      <c r="C312" s="8" t="s">
        <v>72</v>
      </c>
      <c r="D312" s="8" t="s">
        <v>39</v>
      </c>
      <c r="E312" s="8" t="s">
        <v>21</v>
      </c>
      <c r="F312" s="10">
        <v>5.85826771653543</v>
      </c>
      <c r="G312" s="8" t="s">
        <v>885</v>
      </c>
      <c r="H312" s="8" t="s">
        <v>98</v>
      </c>
      <c r="I312" s="8" t="s">
        <v>99</v>
      </c>
      <c r="J312" s="8" t="s">
        <v>100</v>
      </c>
      <c r="K312" s="8">
        <v>5552.43</v>
      </c>
      <c r="L312" s="11">
        <v>5552.43</v>
      </c>
      <c r="M312" s="8" t="s">
        <v>43</v>
      </c>
      <c r="N312" s="8" t="s">
        <v>52</v>
      </c>
      <c r="O312" s="8" t="s">
        <v>886</v>
      </c>
      <c r="P312" t="s">
        <v>397</v>
      </c>
      <c r="Q312" t="s">
        <v>188</v>
      </c>
      <c r="R312" t="s">
        <v>45</v>
      </c>
    </row>
    <row r="313" spans="1:18">
      <c r="A313" s="38">
        <v>45121</v>
      </c>
      <c r="B313" s="8" t="s">
        <v>71</v>
      </c>
      <c r="C313" s="8" t="s">
        <v>72</v>
      </c>
      <c r="D313" s="8" t="s">
        <v>39</v>
      </c>
      <c r="E313" s="8" t="s">
        <v>21</v>
      </c>
      <c r="F313" s="10">
        <v>5</v>
      </c>
      <c r="G313" s="8" t="s">
        <v>887</v>
      </c>
      <c r="H313" s="8" t="s">
        <v>86</v>
      </c>
      <c r="I313" s="8" t="s">
        <v>87</v>
      </c>
      <c r="J313" s="8" t="s">
        <v>88</v>
      </c>
      <c r="K313" s="8">
        <v>2500</v>
      </c>
      <c r="L313" s="11">
        <v>2500</v>
      </c>
      <c r="M313" s="8" t="s">
        <v>43</v>
      </c>
      <c r="N313" s="8" t="s">
        <v>13</v>
      </c>
      <c r="O313" s="8" t="s">
        <v>888</v>
      </c>
      <c r="P313" t="s">
        <v>107</v>
      </c>
      <c r="Q313" t="s">
        <v>20</v>
      </c>
      <c r="R313" t="s">
        <v>62</v>
      </c>
    </row>
    <row r="314" spans="1:18">
      <c r="A314" s="38">
        <v>45047</v>
      </c>
      <c r="B314" s="8" t="s">
        <v>341</v>
      </c>
      <c r="C314" s="8" t="s">
        <v>30</v>
      </c>
      <c r="D314" s="8" t="s">
        <v>31</v>
      </c>
      <c r="E314" s="8" t="s">
        <v>32</v>
      </c>
      <c r="F314" s="10">
        <v>8.6</v>
      </c>
      <c r="G314" s="8" t="s">
        <v>889</v>
      </c>
      <c r="H314" s="8" t="s">
        <v>165</v>
      </c>
      <c r="I314" s="8" t="s">
        <v>165</v>
      </c>
      <c r="J314" s="8" t="s">
        <v>50</v>
      </c>
      <c r="K314" s="8">
        <v>215.36</v>
      </c>
      <c r="L314" s="11">
        <v>215.36</v>
      </c>
      <c r="M314" s="8" t="s">
        <v>245</v>
      </c>
      <c r="N314" s="8" t="s">
        <v>52</v>
      </c>
      <c r="O314" s="8" t="s">
        <v>697</v>
      </c>
      <c r="P314" t="s">
        <v>30</v>
      </c>
      <c r="Q314" t="s">
        <v>31</v>
      </c>
      <c r="R314" t="s">
        <v>54</v>
      </c>
    </row>
    <row r="315" spans="1:18">
      <c r="A315" s="38">
        <v>44864</v>
      </c>
      <c r="B315" s="8" t="s">
        <v>890</v>
      </c>
      <c r="C315" s="8" t="s">
        <v>397</v>
      </c>
      <c r="D315" s="8" t="s">
        <v>188</v>
      </c>
      <c r="E315" s="8" t="s">
        <v>21</v>
      </c>
      <c r="F315" s="13">
        <v>7.79166666666667</v>
      </c>
      <c r="G315" s="8" t="s">
        <v>891</v>
      </c>
      <c r="H315" s="8" t="s">
        <v>86</v>
      </c>
      <c r="I315" s="8" t="s">
        <v>87</v>
      </c>
      <c r="J315" s="8" t="s">
        <v>88</v>
      </c>
      <c r="K315" s="8">
        <v>84</v>
      </c>
      <c r="L315" s="11">
        <v>84</v>
      </c>
      <c r="M315" s="8" t="s">
        <v>51</v>
      </c>
      <c r="N315" s="8" t="s">
        <v>13</v>
      </c>
      <c r="O315" s="8" t="s">
        <v>892</v>
      </c>
      <c r="P315" t="s">
        <v>463</v>
      </c>
      <c r="Q315" t="s">
        <v>111</v>
      </c>
      <c r="R315" t="s">
        <v>84</v>
      </c>
    </row>
    <row r="316" spans="1:18">
      <c r="A316" s="38">
        <v>44609</v>
      </c>
      <c r="B316" s="8" t="s">
        <v>890</v>
      </c>
      <c r="C316" s="8" t="s">
        <v>397</v>
      </c>
      <c r="D316" s="8" t="s">
        <v>188</v>
      </c>
      <c r="E316" s="8" t="s">
        <v>21</v>
      </c>
      <c r="F316" s="10">
        <v>8.5</v>
      </c>
      <c r="G316" s="8" t="s">
        <v>893</v>
      </c>
      <c r="H316" s="8" t="s">
        <v>255</v>
      </c>
      <c r="I316" s="8" t="s">
        <v>244</v>
      </c>
      <c r="J316" s="8" t="s">
        <v>88</v>
      </c>
      <c r="K316" s="8">
        <v>5000</v>
      </c>
      <c r="L316" s="11">
        <v>5000</v>
      </c>
      <c r="M316" s="8" t="s">
        <v>51</v>
      </c>
      <c r="N316" s="8" t="s">
        <v>13</v>
      </c>
      <c r="O316" s="8" t="s">
        <v>894</v>
      </c>
      <c r="P316" t="s">
        <v>28</v>
      </c>
      <c r="Q316" t="s">
        <v>134</v>
      </c>
      <c r="R316" t="s">
        <v>28</v>
      </c>
    </row>
    <row r="317" spans="1:18">
      <c r="A317" s="38">
        <v>45047</v>
      </c>
      <c r="B317" s="8" t="s">
        <v>168</v>
      </c>
      <c r="C317" s="8" t="s">
        <v>169</v>
      </c>
      <c r="D317" s="8" t="s">
        <v>111</v>
      </c>
      <c r="E317" s="8" t="s">
        <v>21</v>
      </c>
      <c r="F317" s="10">
        <v>4.65611111111111</v>
      </c>
      <c r="G317" s="8" t="s">
        <v>895</v>
      </c>
      <c r="H317" s="8" t="s">
        <v>171</v>
      </c>
      <c r="I317" s="8" t="s">
        <v>171</v>
      </c>
      <c r="J317" s="8" t="s">
        <v>50</v>
      </c>
      <c r="K317" s="8">
        <v>270.9</v>
      </c>
      <c r="L317" s="11">
        <v>270.9</v>
      </c>
      <c r="M317" s="8" t="s">
        <v>245</v>
      </c>
      <c r="N317" s="8" t="s">
        <v>13</v>
      </c>
      <c r="O317" s="8" t="s">
        <v>494</v>
      </c>
      <c r="P317" t="s">
        <v>495</v>
      </c>
      <c r="Q317" t="s">
        <v>111</v>
      </c>
      <c r="R317" t="s">
        <v>84</v>
      </c>
    </row>
    <row r="318" spans="1:18">
      <c r="A318" s="38">
        <v>45017</v>
      </c>
      <c r="B318" s="8" t="s">
        <v>896</v>
      </c>
      <c r="C318" s="8" t="s">
        <v>179</v>
      </c>
      <c r="D318" s="8" t="s">
        <v>68</v>
      </c>
      <c r="E318" s="8" t="s">
        <v>32</v>
      </c>
      <c r="F318" s="10">
        <v>9.55</v>
      </c>
      <c r="G318" s="8" t="s">
        <v>897</v>
      </c>
      <c r="H318" s="8" t="s">
        <v>714</v>
      </c>
      <c r="I318" s="8" t="s">
        <v>206</v>
      </c>
      <c r="J318" s="8" t="s">
        <v>88</v>
      </c>
      <c r="K318" s="8">
        <v>673.58</v>
      </c>
      <c r="L318" s="11">
        <v>673.58</v>
      </c>
      <c r="M318" s="8" t="s">
        <v>43</v>
      </c>
      <c r="N318" s="8" t="s">
        <v>13</v>
      </c>
      <c r="O318" s="8" t="s">
        <v>898</v>
      </c>
      <c r="P318" t="s">
        <v>122</v>
      </c>
      <c r="Q318" t="s">
        <v>68</v>
      </c>
      <c r="R318" t="s">
        <v>54</v>
      </c>
    </row>
    <row r="319" spans="1:18">
      <c r="A319" s="38">
        <v>45047</v>
      </c>
      <c r="B319" s="8" t="s">
        <v>365</v>
      </c>
      <c r="C319" s="8" t="s">
        <v>169</v>
      </c>
      <c r="D319" s="8" t="s">
        <v>111</v>
      </c>
      <c r="E319" s="8" t="s">
        <v>21</v>
      </c>
      <c r="F319" s="13">
        <v>4.125</v>
      </c>
      <c r="G319" s="8" t="s">
        <v>899</v>
      </c>
      <c r="H319" s="8" t="s">
        <v>477</v>
      </c>
      <c r="I319" s="8" t="s">
        <v>477</v>
      </c>
      <c r="J319" s="8" t="s">
        <v>50</v>
      </c>
      <c r="K319" s="8">
        <v>1500</v>
      </c>
      <c r="L319" s="11">
        <v>1500</v>
      </c>
      <c r="M319" s="8" t="s">
        <v>26</v>
      </c>
      <c r="N319" s="8" t="s">
        <v>13</v>
      </c>
      <c r="O319" s="8" t="s">
        <v>791</v>
      </c>
      <c r="P319" t="s">
        <v>192</v>
      </c>
      <c r="Q319" t="s">
        <v>57</v>
      </c>
      <c r="R319" t="s">
        <v>96</v>
      </c>
    </row>
    <row r="320" spans="1:18">
      <c r="A320" s="38">
        <v>44713</v>
      </c>
      <c r="B320" s="8" t="s">
        <v>900</v>
      </c>
      <c r="C320" s="8" t="s">
        <v>140</v>
      </c>
      <c r="D320" s="8" t="s">
        <v>20</v>
      </c>
      <c r="E320" s="8" t="s">
        <v>32</v>
      </c>
      <c r="F320" s="13">
        <v>15.5833333333333</v>
      </c>
      <c r="G320" s="8" t="s">
        <v>901</v>
      </c>
      <c r="H320" s="8" t="s">
        <v>182</v>
      </c>
      <c r="I320" s="8" t="s">
        <v>182</v>
      </c>
      <c r="J320" s="8" t="s">
        <v>25</v>
      </c>
      <c r="K320" s="8">
        <v>370</v>
      </c>
      <c r="L320" s="11">
        <v>370</v>
      </c>
      <c r="M320" s="8" t="s">
        <v>51</v>
      </c>
      <c r="N320" s="8" t="s">
        <v>13</v>
      </c>
      <c r="O320" s="8" t="s">
        <v>902</v>
      </c>
      <c r="P320" t="s">
        <v>140</v>
      </c>
      <c r="Q320" t="s">
        <v>20</v>
      </c>
      <c r="R320" t="s">
        <v>54</v>
      </c>
    </row>
    <row r="321" spans="1:18">
      <c r="A321" s="38">
        <v>44774</v>
      </c>
      <c r="B321" s="8" t="s">
        <v>903</v>
      </c>
      <c r="C321" s="8" t="s">
        <v>56</v>
      </c>
      <c r="D321" s="8" t="s">
        <v>57</v>
      </c>
      <c r="E321" s="8" t="s">
        <v>32</v>
      </c>
      <c r="F321" s="10">
        <v>7.55555555555556</v>
      </c>
      <c r="G321" s="8" t="s">
        <v>904</v>
      </c>
      <c r="H321" s="8" t="s">
        <v>171</v>
      </c>
      <c r="I321" s="8" t="s">
        <v>171</v>
      </c>
      <c r="J321" s="8" t="s">
        <v>50</v>
      </c>
      <c r="K321" s="8">
        <v>388</v>
      </c>
      <c r="L321" s="11">
        <v>388</v>
      </c>
      <c r="M321" s="8" t="s">
        <v>51</v>
      </c>
      <c r="N321" s="8" t="s">
        <v>13</v>
      </c>
      <c r="O321" s="8" t="s">
        <v>905</v>
      </c>
      <c r="P321" t="s">
        <v>28</v>
      </c>
      <c r="Q321" t="s">
        <v>57</v>
      </c>
      <c r="R321" t="s">
        <v>28</v>
      </c>
    </row>
    <row r="322" spans="1:18">
      <c r="A322" s="38">
        <v>44774</v>
      </c>
      <c r="B322" s="8" t="s">
        <v>543</v>
      </c>
      <c r="C322" s="8" t="s">
        <v>140</v>
      </c>
      <c r="D322" s="8" t="s">
        <v>20</v>
      </c>
      <c r="E322" s="8" t="s">
        <v>32</v>
      </c>
      <c r="F322" s="10">
        <v>8.88</v>
      </c>
      <c r="G322" s="8" t="s">
        <v>906</v>
      </c>
      <c r="H322" s="8" t="s">
        <v>142</v>
      </c>
      <c r="I322" s="8" t="s">
        <v>142</v>
      </c>
      <c r="J322" s="8" t="s">
        <v>25</v>
      </c>
      <c r="K322" s="8">
        <v>1891.3</v>
      </c>
      <c r="L322" s="11">
        <v>1891.3</v>
      </c>
      <c r="M322" s="8" t="s">
        <v>43</v>
      </c>
      <c r="N322" s="8" t="s">
        <v>13</v>
      </c>
      <c r="O322" s="8" t="s">
        <v>907</v>
      </c>
      <c r="P322" t="s">
        <v>140</v>
      </c>
      <c r="Q322" t="s">
        <v>20</v>
      </c>
      <c r="R322" t="s">
        <v>54</v>
      </c>
    </row>
    <row r="323" spans="1:18">
      <c r="A323" s="38">
        <v>45231</v>
      </c>
      <c r="B323" s="8" t="s">
        <v>466</v>
      </c>
      <c r="C323" s="8" t="s">
        <v>95</v>
      </c>
      <c r="D323" s="8" t="s">
        <v>20</v>
      </c>
      <c r="E323" s="8" t="s">
        <v>32</v>
      </c>
      <c r="F323" s="10">
        <v>7.2</v>
      </c>
      <c r="G323" s="8" t="s">
        <v>908</v>
      </c>
      <c r="H323" s="8" t="s">
        <v>165</v>
      </c>
      <c r="I323" s="8" t="s">
        <v>165</v>
      </c>
      <c r="J323" s="8" t="s">
        <v>50</v>
      </c>
      <c r="K323" s="8">
        <v>751.89</v>
      </c>
      <c r="L323" s="11">
        <v>751.89</v>
      </c>
      <c r="M323" s="8" t="s">
        <v>245</v>
      </c>
      <c r="N323" s="8" t="s">
        <v>13</v>
      </c>
      <c r="O323" s="8" t="s">
        <v>909</v>
      </c>
      <c r="P323" t="s">
        <v>192</v>
      </c>
      <c r="Q323" t="s">
        <v>57</v>
      </c>
      <c r="R323" t="s">
        <v>96</v>
      </c>
    </row>
    <row r="324" spans="1:18">
      <c r="A324" s="38">
        <v>44743</v>
      </c>
      <c r="B324" s="8" t="s">
        <v>543</v>
      </c>
      <c r="C324" s="8" t="s">
        <v>140</v>
      </c>
      <c r="D324" s="8" t="s">
        <v>20</v>
      </c>
      <c r="E324" s="8" t="s">
        <v>32</v>
      </c>
      <c r="F324" s="10">
        <v>10.2</v>
      </c>
      <c r="G324" s="8" t="s">
        <v>910</v>
      </c>
      <c r="H324" s="8" t="s">
        <v>23</v>
      </c>
      <c r="I324" s="8" t="s">
        <v>24</v>
      </c>
      <c r="J324" s="8" t="s">
        <v>25</v>
      </c>
      <c r="K324" s="8">
        <v>1265.49</v>
      </c>
      <c r="L324" s="11">
        <v>1265.49</v>
      </c>
      <c r="M324" s="8" t="s">
        <v>43</v>
      </c>
      <c r="N324" s="8" t="s">
        <v>13</v>
      </c>
      <c r="O324" s="8" t="s">
        <v>251</v>
      </c>
      <c r="P324" t="s">
        <v>95</v>
      </c>
      <c r="Q324" t="s">
        <v>20</v>
      </c>
      <c r="R324" t="s">
        <v>96</v>
      </c>
    </row>
    <row r="325" spans="1:18">
      <c r="A325" s="38">
        <v>45481</v>
      </c>
      <c r="B325" s="8" t="s">
        <v>911</v>
      </c>
      <c r="C325" s="8" t="s">
        <v>234</v>
      </c>
      <c r="D325" s="8" t="s">
        <v>235</v>
      </c>
      <c r="E325" s="8" t="s">
        <v>21</v>
      </c>
      <c r="F325" s="13">
        <v>5.95833333333333</v>
      </c>
      <c r="G325" s="8" t="s">
        <v>912</v>
      </c>
      <c r="H325" s="8" t="s">
        <v>913</v>
      </c>
      <c r="I325" s="8" t="s">
        <v>126</v>
      </c>
      <c r="J325" s="8" t="s">
        <v>127</v>
      </c>
      <c r="K325" s="8">
        <v>350</v>
      </c>
      <c r="L325" s="11">
        <v>350</v>
      </c>
      <c r="M325" s="8" t="s">
        <v>26</v>
      </c>
      <c r="N325" s="8" t="s">
        <v>52</v>
      </c>
      <c r="O325" s="8" t="s">
        <v>914</v>
      </c>
      <c r="P325" t="s">
        <v>30</v>
      </c>
      <c r="Q325" t="s">
        <v>31</v>
      </c>
      <c r="R325" t="s">
        <v>54</v>
      </c>
    </row>
    <row r="326" spans="1:18">
      <c r="A326" s="38">
        <v>45306</v>
      </c>
      <c r="B326" s="8" t="s">
        <v>915</v>
      </c>
      <c r="C326" s="8" t="s">
        <v>397</v>
      </c>
      <c r="D326" s="8" t="s">
        <v>188</v>
      </c>
      <c r="E326" s="8" t="s">
        <v>21</v>
      </c>
      <c r="F326" s="13">
        <v>7.33333333333333</v>
      </c>
      <c r="G326" s="8" t="s">
        <v>916</v>
      </c>
      <c r="H326" s="8" t="s">
        <v>42</v>
      </c>
      <c r="I326" s="8" t="s">
        <v>42</v>
      </c>
      <c r="J326" s="8" t="s">
        <v>25</v>
      </c>
      <c r="K326" s="8">
        <v>502</v>
      </c>
      <c r="L326" s="11">
        <v>502</v>
      </c>
      <c r="M326" s="8" t="s">
        <v>51</v>
      </c>
      <c r="N326" s="8" t="s">
        <v>52</v>
      </c>
      <c r="O326" s="8" t="s">
        <v>917</v>
      </c>
      <c r="P326" t="s">
        <v>140</v>
      </c>
      <c r="Q326" t="s">
        <v>20</v>
      </c>
      <c r="R326" t="s">
        <v>54</v>
      </c>
    </row>
    <row r="327" spans="1:18">
      <c r="A327" s="38">
        <v>45138</v>
      </c>
      <c r="B327" s="8" t="s">
        <v>918</v>
      </c>
      <c r="C327" s="8" t="s">
        <v>56</v>
      </c>
      <c r="D327" s="8" t="s">
        <v>57</v>
      </c>
      <c r="E327" s="8" t="s">
        <v>32</v>
      </c>
      <c r="F327" s="13">
        <v>5.95833333333333</v>
      </c>
      <c r="G327" s="8" t="s">
        <v>919</v>
      </c>
      <c r="H327" s="8" t="s">
        <v>920</v>
      </c>
      <c r="I327" s="8" t="s">
        <v>206</v>
      </c>
      <c r="J327" s="8" t="s">
        <v>88</v>
      </c>
      <c r="K327" s="8">
        <v>12000</v>
      </c>
      <c r="L327" s="11">
        <v>12000</v>
      </c>
      <c r="M327" s="8" t="s">
        <v>43</v>
      </c>
      <c r="N327" s="8" t="s">
        <v>13</v>
      </c>
      <c r="O327" s="8" t="s">
        <v>921</v>
      </c>
      <c r="P327" t="s">
        <v>28</v>
      </c>
      <c r="Q327" t="s">
        <v>77</v>
      </c>
      <c r="R327" t="s">
        <v>28</v>
      </c>
    </row>
    <row r="328" spans="1:18">
      <c r="A328" s="38">
        <v>45352.5699884259</v>
      </c>
      <c r="B328" s="8" t="s">
        <v>466</v>
      </c>
      <c r="C328" s="8" t="s">
        <v>95</v>
      </c>
      <c r="D328" s="8" t="s">
        <v>20</v>
      </c>
      <c r="E328" s="8" t="s">
        <v>32</v>
      </c>
      <c r="F328" s="10">
        <v>5.6</v>
      </c>
      <c r="G328" s="8" t="s">
        <v>922</v>
      </c>
      <c r="H328" s="8" t="s">
        <v>165</v>
      </c>
      <c r="I328" s="8" t="s">
        <v>165</v>
      </c>
      <c r="J328" s="8" t="s">
        <v>50</v>
      </c>
      <c r="K328" s="8">
        <v>751.89</v>
      </c>
      <c r="L328" s="11">
        <v>751.89</v>
      </c>
      <c r="M328" s="8" t="s">
        <v>66</v>
      </c>
      <c r="N328" s="8" t="s">
        <v>13</v>
      </c>
      <c r="O328" s="8" t="s">
        <v>923</v>
      </c>
      <c r="P328" t="s">
        <v>192</v>
      </c>
      <c r="Q328" t="s">
        <v>57</v>
      </c>
      <c r="R328" t="s">
        <v>96</v>
      </c>
    </row>
    <row r="329" spans="1:18">
      <c r="A329" s="38">
        <v>45444</v>
      </c>
      <c r="B329" s="8" t="s">
        <v>924</v>
      </c>
      <c r="C329" s="8" t="s">
        <v>420</v>
      </c>
      <c r="D329" s="8" t="s">
        <v>39</v>
      </c>
      <c r="E329" s="8" t="s">
        <v>32</v>
      </c>
      <c r="F329" s="10">
        <v>6.96</v>
      </c>
      <c r="G329" s="8" t="s">
        <v>925</v>
      </c>
      <c r="H329" s="8" t="s">
        <v>199</v>
      </c>
      <c r="I329" s="8" t="s">
        <v>200</v>
      </c>
      <c r="J329" s="8" t="s">
        <v>201</v>
      </c>
      <c r="K329" s="8">
        <v>1676.67</v>
      </c>
      <c r="L329" s="11">
        <v>1676.67</v>
      </c>
      <c r="M329" s="8" t="s">
        <v>926</v>
      </c>
      <c r="N329" s="8" t="s">
        <v>13</v>
      </c>
      <c r="O329" s="8" t="s">
        <v>927</v>
      </c>
      <c r="P329" t="s">
        <v>28</v>
      </c>
      <c r="Q329" t="s">
        <v>39</v>
      </c>
      <c r="R329" t="s">
        <v>28</v>
      </c>
    </row>
    <row r="330" spans="1:18">
      <c r="A330" s="38">
        <v>45412</v>
      </c>
      <c r="B330" s="8" t="s">
        <v>924</v>
      </c>
      <c r="C330" s="8" t="s">
        <v>420</v>
      </c>
      <c r="D330" s="8" t="s">
        <v>39</v>
      </c>
      <c r="E330" s="8" t="s">
        <v>32</v>
      </c>
      <c r="F330" s="13">
        <v>7.51666666666667</v>
      </c>
      <c r="G330" s="8" t="s">
        <v>928</v>
      </c>
      <c r="H330" s="8" t="s">
        <v>291</v>
      </c>
      <c r="I330" s="8" t="s">
        <v>87</v>
      </c>
      <c r="J330" s="8" t="s">
        <v>88</v>
      </c>
      <c r="K330" s="8">
        <v>300</v>
      </c>
      <c r="L330" s="11">
        <v>300</v>
      </c>
      <c r="M330" s="8" t="s">
        <v>51</v>
      </c>
      <c r="N330" s="8" t="s">
        <v>13</v>
      </c>
      <c r="O330" s="8" t="s">
        <v>929</v>
      </c>
      <c r="P330" t="s">
        <v>495</v>
      </c>
      <c r="Q330" t="s">
        <v>111</v>
      </c>
      <c r="R330" t="s">
        <v>84</v>
      </c>
    </row>
    <row r="331" spans="1:18">
      <c r="A331" s="38">
        <v>45412</v>
      </c>
      <c r="B331" s="8" t="s">
        <v>924</v>
      </c>
      <c r="C331" s="8" t="s">
        <v>420</v>
      </c>
      <c r="D331" s="8" t="s">
        <v>39</v>
      </c>
      <c r="E331" s="8" t="s">
        <v>32</v>
      </c>
      <c r="F331" s="13">
        <v>7.79166666666667</v>
      </c>
      <c r="G331" s="8" t="s">
        <v>930</v>
      </c>
      <c r="H331" s="8" t="s">
        <v>91</v>
      </c>
      <c r="I331" s="8" t="s">
        <v>92</v>
      </c>
      <c r="J331" s="8" t="s">
        <v>93</v>
      </c>
      <c r="K331" s="8">
        <v>150</v>
      </c>
      <c r="L331" s="11">
        <v>150</v>
      </c>
      <c r="M331" s="8" t="s">
        <v>51</v>
      </c>
      <c r="N331" s="8" t="s">
        <v>13</v>
      </c>
      <c r="O331" s="8" t="s">
        <v>931</v>
      </c>
      <c r="P331" t="s">
        <v>28</v>
      </c>
      <c r="Q331" t="s">
        <v>151</v>
      </c>
      <c r="R331" t="s">
        <v>28</v>
      </c>
    </row>
    <row r="332" spans="1:18">
      <c r="A332" s="38">
        <v>44805</v>
      </c>
      <c r="B332" s="8" t="s">
        <v>883</v>
      </c>
      <c r="C332" s="8" t="s">
        <v>420</v>
      </c>
      <c r="D332" s="8" t="s">
        <v>39</v>
      </c>
      <c r="E332" s="8" t="s">
        <v>32</v>
      </c>
      <c r="F332" s="10">
        <v>9.2</v>
      </c>
      <c r="G332" s="8" t="s">
        <v>932</v>
      </c>
      <c r="H332" s="8" t="s">
        <v>208</v>
      </c>
      <c r="I332" s="8" t="s">
        <v>104</v>
      </c>
      <c r="J332" s="8" t="s">
        <v>105</v>
      </c>
      <c r="K332" s="8">
        <v>210.86</v>
      </c>
      <c r="L332" s="11">
        <v>210.86</v>
      </c>
      <c r="M332" s="8" t="s">
        <v>43</v>
      </c>
      <c r="N332" s="8" t="s">
        <v>13</v>
      </c>
      <c r="O332" s="8" t="s">
        <v>933</v>
      </c>
      <c r="P332" t="s">
        <v>276</v>
      </c>
      <c r="Q332" t="s">
        <v>68</v>
      </c>
      <c r="R332" t="s">
        <v>54</v>
      </c>
    </row>
    <row r="333" spans="1:18">
      <c r="A333" s="38">
        <v>45231</v>
      </c>
      <c r="B333" s="8" t="s">
        <v>782</v>
      </c>
      <c r="C333" s="8" t="s">
        <v>420</v>
      </c>
      <c r="D333" s="8" t="s">
        <v>39</v>
      </c>
      <c r="E333" s="8" t="s">
        <v>32</v>
      </c>
      <c r="F333" s="10">
        <v>7.25</v>
      </c>
      <c r="G333" s="8" t="s">
        <v>934</v>
      </c>
      <c r="H333" s="8" t="s">
        <v>165</v>
      </c>
      <c r="I333" s="8" t="s">
        <v>165</v>
      </c>
      <c r="J333" s="8" t="s">
        <v>50</v>
      </c>
      <c r="K333" s="8">
        <v>3273.01</v>
      </c>
      <c r="L333" s="11">
        <v>3273.01</v>
      </c>
      <c r="M333" s="8" t="s">
        <v>43</v>
      </c>
      <c r="N333" s="8" t="s">
        <v>13</v>
      </c>
      <c r="O333" s="8" t="s">
        <v>909</v>
      </c>
      <c r="P333" t="s">
        <v>192</v>
      </c>
      <c r="Q333" t="s">
        <v>57</v>
      </c>
      <c r="R333" t="s">
        <v>96</v>
      </c>
    </row>
    <row r="334" spans="1:18">
      <c r="A334" s="38">
        <v>45474</v>
      </c>
      <c r="B334" s="8" t="s">
        <v>935</v>
      </c>
      <c r="C334" s="8" t="s">
        <v>72</v>
      </c>
      <c r="D334" s="8" t="s">
        <v>39</v>
      </c>
      <c r="E334" s="8" t="s">
        <v>21</v>
      </c>
      <c r="F334" s="13">
        <v>7.79166666666667</v>
      </c>
      <c r="G334" s="8" t="s">
        <v>936</v>
      </c>
      <c r="I334" s="8" t="e">
        <v>#N/A</v>
      </c>
      <c r="J334" s="8" t="s">
        <v>88</v>
      </c>
      <c r="K334" s="8">
        <v>2680</v>
      </c>
      <c r="L334" s="11">
        <v>2680</v>
      </c>
      <c r="M334" s="8" t="s">
        <v>26</v>
      </c>
      <c r="N334" s="8" t="s">
        <v>13</v>
      </c>
      <c r="O334" s="8" t="s">
        <v>937</v>
      </c>
      <c r="P334" t="s">
        <v>28</v>
      </c>
      <c r="Q334" t="s">
        <v>39</v>
      </c>
      <c r="R334" t="s">
        <v>28</v>
      </c>
    </row>
    <row r="335" spans="1:18">
      <c r="A335" s="38">
        <v>45426</v>
      </c>
      <c r="B335" s="8" t="s">
        <v>935</v>
      </c>
      <c r="C335" s="8" t="s">
        <v>72</v>
      </c>
      <c r="D335" s="8" t="s">
        <v>39</v>
      </c>
      <c r="E335" s="8" t="s">
        <v>21</v>
      </c>
      <c r="F335" s="13">
        <v>7.15</v>
      </c>
      <c r="G335" s="8" t="s">
        <v>938</v>
      </c>
      <c r="H335" s="8" t="s">
        <v>125</v>
      </c>
      <c r="I335" s="8" t="s">
        <v>126</v>
      </c>
      <c r="J335" s="8" t="s">
        <v>127</v>
      </c>
      <c r="K335" s="8">
        <v>2600</v>
      </c>
      <c r="L335" s="11">
        <v>2600</v>
      </c>
      <c r="M335" s="8" t="s">
        <v>26</v>
      </c>
      <c r="N335" s="8" t="s">
        <v>13</v>
      </c>
      <c r="O335" s="8" t="s">
        <v>939</v>
      </c>
      <c r="P335" t="s">
        <v>28</v>
      </c>
      <c r="Q335" t="s">
        <v>39</v>
      </c>
      <c r="R335" t="s">
        <v>28</v>
      </c>
    </row>
    <row r="336" spans="1:18">
      <c r="A336" s="38">
        <v>45476</v>
      </c>
      <c r="B336" s="8" t="s">
        <v>935</v>
      </c>
      <c r="C336" s="8" t="s">
        <v>72</v>
      </c>
      <c r="D336" s="8" t="s">
        <v>39</v>
      </c>
      <c r="E336" s="8" t="s">
        <v>21</v>
      </c>
      <c r="F336" s="13">
        <v>4.58333333333333</v>
      </c>
      <c r="G336" s="8" t="s">
        <v>940</v>
      </c>
      <c r="H336" s="8" t="s">
        <v>360</v>
      </c>
      <c r="I336" s="8" t="s">
        <v>99</v>
      </c>
      <c r="J336" s="8" t="s">
        <v>100</v>
      </c>
      <c r="K336" s="8">
        <v>2000</v>
      </c>
      <c r="L336" s="11">
        <v>2000</v>
      </c>
      <c r="M336" s="8" t="s">
        <v>51</v>
      </c>
      <c r="N336" s="8" t="s">
        <v>52</v>
      </c>
      <c r="O336" s="8" t="s">
        <v>941</v>
      </c>
      <c r="P336" t="s">
        <v>397</v>
      </c>
      <c r="Q336" t="s">
        <v>188</v>
      </c>
      <c r="R336" t="s">
        <v>45</v>
      </c>
    </row>
    <row r="337" spans="1:18">
      <c r="A337" s="38">
        <v>45010</v>
      </c>
      <c r="B337" s="8" t="s">
        <v>942</v>
      </c>
      <c r="C337" s="8" t="s">
        <v>320</v>
      </c>
      <c r="D337" s="8" t="s">
        <v>20</v>
      </c>
      <c r="E337" s="8" t="s">
        <v>21</v>
      </c>
      <c r="F337" s="13">
        <v>4.125</v>
      </c>
      <c r="G337" s="8" t="s">
        <v>943</v>
      </c>
      <c r="H337" s="8" t="s">
        <v>771</v>
      </c>
      <c r="I337" s="8" t="s">
        <v>711</v>
      </c>
      <c r="J337" s="8" t="s">
        <v>161</v>
      </c>
      <c r="K337" s="8">
        <v>1400</v>
      </c>
      <c r="L337" s="11">
        <v>1400</v>
      </c>
      <c r="M337" s="8" t="s">
        <v>43</v>
      </c>
      <c r="N337" s="8" t="s">
        <v>13</v>
      </c>
      <c r="O337" s="8" t="s">
        <v>944</v>
      </c>
      <c r="P337" t="s">
        <v>28</v>
      </c>
      <c r="Q337" t="s">
        <v>151</v>
      </c>
      <c r="R337" t="s">
        <v>28</v>
      </c>
    </row>
    <row r="338" spans="1:18">
      <c r="A338" s="38">
        <v>44860</v>
      </c>
      <c r="B338" s="8" t="s">
        <v>945</v>
      </c>
      <c r="C338" s="8" t="s">
        <v>234</v>
      </c>
      <c r="D338" s="8" t="s">
        <v>235</v>
      </c>
      <c r="E338" s="8" t="s">
        <v>21</v>
      </c>
      <c r="F338" s="13">
        <v>6.78333333333333</v>
      </c>
      <c r="G338" s="8" t="s">
        <v>946</v>
      </c>
      <c r="H338" s="8" t="s">
        <v>641</v>
      </c>
      <c r="I338" s="8" t="s">
        <v>406</v>
      </c>
      <c r="J338" s="8" t="s">
        <v>407</v>
      </c>
      <c r="K338" s="8">
        <v>1100</v>
      </c>
      <c r="L338" s="11">
        <v>1100</v>
      </c>
      <c r="M338" s="8" t="s">
        <v>66</v>
      </c>
      <c r="N338" s="8" t="s">
        <v>52</v>
      </c>
      <c r="O338" s="8" t="s">
        <v>947</v>
      </c>
      <c r="P338" t="s">
        <v>30</v>
      </c>
      <c r="Q338" t="s">
        <v>31</v>
      </c>
      <c r="R338" t="s">
        <v>54</v>
      </c>
    </row>
    <row r="339" spans="1:18">
      <c r="A339" s="38">
        <v>45319</v>
      </c>
      <c r="B339" s="8" t="s">
        <v>948</v>
      </c>
      <c r="C339" s="8" t="s">
        <v>122</v>
      </c>
      <c r="D339" s="8" t="s">
        <v>123</v>
      </c>
      <c r="E339" s="8" t="s">
        <v>32</v>
      </c>
      <c r="F339" s="13">
        <v>6.05</v>
      </c>
      <c r="G339" s="8" t="s">
        <v>949</v>
      </c>
      <c r="J339" s="8" t="s">
        <v>105</v>
      </c>
      <c r="K339" s="8">
        <v>6600</v>
      </c>
      <c r="L339" s="11">
        <v>6600</v>
      </c>
      <c r="M339" s="8" t="s">
        <v>43</v>
      </c>
      <c r="N339" s="8" t="s">
        <v>13</v>
      </c>
      <c r="O339" s="8" t="s">
        <v>950</v>
      </c>
      <c r="P339" t="s">
        <v>122</v>
      </c>
      <c r="Q339" t="s">
        <v>68</v>
      </c>
      <c r="R339" t="s">
        <v>54</v>
      </c>
    </row>
    <row r="340" spans="1:18">
      <c r="A340" s="38">
        <v>45015</v>
      </c>
      <c r="B340" s="8" t="s">
        <v>948</v>
      </c>
      <c r="C340" s="8" t="s">
        <v>122</v>
      </c>
      <c r="D340" s="8" t="s">
        <v>123</v>
      </c>
      <c r="E340" s="8" t="s">
        <v>32</v>
      </c>
      <c r="F340" s="10">
        <v>10.6944444444444</v>
      </c>
      <c r="G340" s="8" t="s">
        <v>951</v>
      </c>
      <c r="H340" s="8" t="s">
        <v>314</v>
      </c>
      <c r="I340" s="8" t="s">
        <v>200</v>
      </c>
      <c r="J340" s="8" t="s">
        <v>201</v>
      </c>
      <c r="K340" s="8">
        <v>300</v>
      </c>
      <c r="L340" s="11">
        <v>300</v>
      </c>
      <c r="M340" s="8" t="s">
        <v>66</v>
      </c>
      <c r="N340" s="8" t="s">
        <v>52</v>
      </c>
      <c r="O340" s="8" t="s">
        <v>952</v>
      </c>
      <c r="P340" t="s">
        <v>30</v>
      </c>
      <c r="Q340" t="s">
        <v>31</v>
      </c>
      <c r="R340" t="s">
        <v>54</v>
      </c>
    </row>
    <row r="341" spans="1:18">
      <c r="A341" s="38">
        <v>45352.5699884259</v>
      </c>
      <c r="B341" s="8" t="s">
        <v>272</v>
      </c>
      <c r="C341" s="8" t="s">
        <v>56</v>
      </c>
      <c r="D341" s="8" t="s">
        <v>188</v>
      </c>
      <c r="E341" s="8" t="s">
        <v>21</v>
      </c>
      <c r="F341" s="10">
        <v>4.4</v>
      </c>
      <c r="G341" s="8" t="s">
        <v>953</v>
      </c>
      <c r="H341" s="8" t="s">
        <v>425</v>
      </c>
      <c r="I341" s="8" t="s">
        <v>406</v>
      </c>
      <c r="J341" s="8" t="s">
        <v>407</v>
      </c>
      <c r="K341" s="8">
        <v>1191.79</v>
      </c>
      <c r="L341" s="11">
        <v>1191.79</v>
      </c>
      <c r="M341" s="8" t="s">
        <v>75</v>
      </c>
      <c r="N341" s="8" t="s">
        <v>13</v>
      </c>
      <c r="O341" s="8" t="s">
        <v>954</v>
      </c>
      <c r="P341" t="s">
        <v>133</v>
      </c>
      <c r="Q341" t="s">
        <v>134</v>
      </c>
      <c r="R341" t="s">
        <v>84</v>
      </c>
    </row>
    <row r="342" spans="1:18">
      <c r="A342" s="38">
        <v>44621</v>
      </c>
      <c r="B342" s="8" t="s">
        <v>272</v>
      </c>
      <c r="C342" s="8" t="s">
        <v>56</v>
      </c>
      <c r="D342" s="8" t="s">
        <v>188</v>
      </c>
      <c r="E342" s="8" t="s">
        <v>21</v>
      </c>
      <c r="F342" s="10">
        <v>5.78666666666667</v>
      </c>
      <c r="G342" s="8" t="s">
        <v>955</v>
      </c>
      <c r="H342" s="8" t="s">
        <v>641</v>
      </c>
      <c r="I342" s="8" t="s">
        <v>406</v>
      </c>
      <c r="J342" s="8" t="s">
        <v>407</v>
      </c>
      <c r="K342" s="8">
        <v>612.34</v>
      </c>
      <c r="L342" s="11">
        <v>612.34</v>
      </c>
      <c r="M342" s="8" t="s">
        <v>245</v>
      </c>
      <c r="N342" s="8" t="s">
        <v>13</v>
      </c>
      <c r="O342" s="8" t="s">
        <v>956</v>
      </c>
      <c r="P342" t="s">
        <v>28</v>
      </c>
      <c r="Q342" t="s">
        <v>188</v>
      </c>
      <c r="R342" t="s">
        <v>28</v>
      </c>
    </row>
    <row r="343" ht="28" spans="1:18">
      <c r="A343" s="38">
        <v>45108</v>
      </c>
      <c r="B343" s="8" t="s">
        <v>272</v>
      </c>
      <c r="C343" s="8" t="s">
        <v>56</v>
      </c>
      <c r="D343" s="8" t="s">
        <v>188</v>
      </c>
      <c r="E343" s="8" t="s">
        <v>21</v>
      </c>
      <c r="F343" s="10">
        <v>5.78666666666667</v>
      </c>
      <c r="G343" s="17" t="s">
        <v>957</v>
      </c>
      <c r="J343" s="8" t="s">
        <v>105</v>
      </c>
      <c r="K343" s="8">
        <v>183.05</v>
      </c>
      <c r="L343" s="11">
        <v>183.05</v>
      </c>
      <c r="M343" s="8" t="s">
        <v>75</v>
      </c>
      <c r="N343" s="8" t="s">
        <v>13</v>
      </c>
      <c r="O343" s="8" t="s">
        <v>958</v>
      </c>
      <c r="P343" t="s">
        <v>397</v>
      </c>
      <c r="Q343" t="s">
        <v>188</v>
      </c>
      <c r="R343" t="s">
        <v>45</v>
      </c>
    </row>
    <row r="344" spans="1:18">
      <c r="A344" s="38">
        <v>45292</v>
      </c>
      <c r="B344" s="8" t="s">
        <v>604</v>
      </c>
      <c r="C344" s="8" t="s">
        <v>47</v>
      </c>
      <c r="D344" s="8" t="s">
        <v>20</v>
      </c>
      <c r="E344" s="8" t="s">
        <v>21</v>
      </c>
      <c r="F344" s="10">
        <v>8.02777777777778</v>
      </c>
      <c r="G344" s="8" t="s">
        <v>959</v>
      </c>
      <c r="H344" s="8" t="s">
        <v>601</v>
      </c>
      <c r="I344" s="8" t="s">
        <v>601</v>
      </c>
      <c r="J344" s="8" t="s">
        <v>50</v>
      </c>
      <c r="K344" s="8">
        <v>160</v>
      </c>
      <c r="L344" s="11">
        <v>160</v>
      </c>
      <c r="M344" s="8" t="s">
        <v>75</v>
      </c>
      <c r="N344" s="8" t="s">
        <v>13</v>
      </c>
      <c r="O344" s="8" t="s">
        <v>960</v>
      </c>
      <c r="P344" t="s">
        <v>28</v>
      </c>
      <c r="Q344" t="s">
        <v>151</v>
      </c>
      <c r="R344" t="s">
        <v>28</v>
      </c>
    </row>
    <row r="345" spans="1:18">
      <c r="A345" s="38">
        <v>45502</v>
      </c>
      <c r="B345" s="8" t="s">
        <v>272</v>
      </c>
      <c r="C345" s="8" t="s">
        <v>56</v>
      </c>
      <c r="D345" s="8" t="s">
        <v>188</v>
      </c>
      <c r="E345" s="8" t="s">
        <v>21</v>
      </c>
      <c r="F345" s="13">
        <v>4.58333333333333</v>
      </c>
      <c r="G345" s="8" t="s">
        <v>961</v>
      </c>
      <c r="H345" s="8" t="s">
        <v>405</v>
      </c>
      <c r="I345" s="8" t="s">
        <v>406</v>
      </c>
      <c r="J345" s="8" t="s">
        <v>407</v>
      </c>
      <c r="K345" s="8">
        <v>2300</v>
      </c>
      <c r="L345" s="11">
        <v>2300</v>
      </c>
      <c r="M345" s="8" t="s">
        <v>26</v>
      </c>
      <c r="N345" s="8" t="s">
        <v>13</v>
      </c>
      <c r="O345" s="8" t="s">
        <v>962</v>
      </c>
      <c r="P345" t="s">
        <v>133</v>
      </c>
      <c r="Q345" t="s">
        <v>134</v>
      </c>
      <c r="R345" t="s">
        <v>84</v>
      </c>
    </row>
    <row r="346" spans="1:18">
      <c r="A346" s="38">
        <v>45292</v>
      </c>
      <c r="B346" s="8" t="s">
        <v>272</v>
      </c>
      <c r="C346" s="8" t="s">
        <v>56</v>
      </c>
      <c r="D346" s="8" t="s">
        <v>188</v>
      </c>
      <c r="E346" s="8" t="s">
        <v>21</v>
      </c>
      <c r="F346" s="10">
        <v>5.5</v>
      </c>
      <c r="G346" s="8" t="s">
        <v>963</v>
      </c>
      <c r="H346" s="8" t="s">
        <v>291</v>
      </c>
      <c r="I346" s="8" t="s">
        <v>87</v>
      </c>
      <c r="J346" s="8" t="s">
        <v>88</v>
      </c>
      <c r="K346" s="8">
        <v>191</v>
      </c>
      <c r="L346" s="11">
        <v>191</v>
      </c>
      <c r="M346" s="8" t="s">
        <v>66</v>
      </c>
      <c r="N346" s="8" t="s">
        <v>13</v>
      </c>
      <c r="O346" s="8" t="s">
        <v>964</v>
      </c>
      <c r="P346" t="s">
        <v>28</v>
      </c>
      <c r="Q346" t="s">
        <v>188</v>
      </c>
      <c r="R346" t="s">
        <v>28</v>
      </c>
    </row>
    <row r="347" spans="1:18">
      <c r="A347" s="38">
        <v>45292</v>
      </c>
      <c r="B347" s="8" t="s">
        <v>272</v>
      </c>
      <c r="C347" s="8" t="s">
        <v>56</v>
      </c>
      <c r="D347" s="8" t="s">
        <v>188</v>
      </c>
      <c r="E347" s="8" t="s">
        <v>21</v>
      </c>
      <c r="F347" s="10"/>
      <c r="G347" s="8" t="s">
        <v>965</v>
      </c>
      <c r="J347" s="8" t="s">
        <v>100</v>
      </c>
      <c r="K347" s="8">
        <v>10000</v>
      </c>
      <c r="L347" s="11">
        <v>10000</v>
      </c>
      <c r="M347" s="8" t="s">
        <v>26</v>
      </c>
      <c r="N347" s="8" t="s">
        <v>13</v>
      </c>
      <c r="O347" s="8" t="s">
        <v>966</v>
      </c>
      <c r="P347" t="s">
        <v>651</v>
      </c>
      <c r="Q347" t="s">
        <v>188</v>
      </c>
      <c r="R347" t="s">
        <v>84</v>
      </c>
    </row>
    <row r="348" spans="1:18">
      <c r="A348" s="38">
        <v>45413</v>
      </c>
      <c r="B348" s="8" t="s">
        <v>272</v>
      </c>
      <c r="C348" s="8" t="s">
        <v>56</v>
      </c>
      <c r="D348" s="8" t="s">
        <v>188</v>
      </c>
      <c r="E348" s="8" t="s">
        <v>21</v>
      </c>
      <c r="F348" s="10">
        <v>4.12285714285714</v>
      </c>
      <c r="G348" s="8" t="s">
        <v>967</v>
      </c>
      <c r="H348" s="8" t="s">
        <v>343</v>
      </c>
      <c r="I348" s="8" t="s">
        <v>99</v>
      </c>
      <c r="J348" s="8" t="s">
        <v>100</v>
      </c>
      <c r="K348" s="8">
        <v>10974.58</v>
      </c>
      <c r="L348" s="11">
        <v>10974.58</v>
      </c>
      <c r="M348" s="8" t="s">
        <v>37</v>
      </c>
      <c r="N348" s="8" t="s">
        <v>13</v>
      </c>
      <c r="O348" s="8" t="s">
        <v>968</v>
      </c>
      <c r="P348" t="s">
        <v>651</v>
      </c>
      <c r="Q348" t="s">
        <v>188</v>
      </c>
      <c r="R348" t="s">
        <v>84</v>
      </c>
    </row>
    <row r="349" spans="1:18">
      <c r="A349" s="38">
        <v>45243</v>
      </c>
      <c r="B349" s="8" t="s">
        <v>272</v>
      </c>
      <c r="C349" s="8" t="s">
        <v>56</v>
      </c>
      <c r="D349" s="8" t="s">
        <v>188</v>
      </c>
      <c r="E349" s="8" t="s">
        <v>21</v>
      </c>
      <c r="F349" s="10">
        <v>3.94722222222222</v>
      </c>
      <c r="G349" s="8" t="s">
        <v>969</v>
      </c>
      <c r="H349" s="8" t="s">
        <v>86</v>
      </c>
      <c r="I349" s="8" t="s">
        <v>87</v>
      </c>
      <c r="J349" s="8" t="s">
        <v>88</v>
      </c>
      <c r="K349" s="8">
        <v>2800</v>
      </c>
      <c r="L349" s="11">
        <v>2800</v>
      </c>
      <c r="M349" s="8" t="s">
        <v>26</v>
      </c>
      <c r="N349" s="8" t="s">
        <v>13</v>
      </c>
      <c r="O349" s="8" t="s">
        <v>970</v>
      </c>
      <c r="P349" t="s">
        <v>28</v>
      </c>
      <c r="Q349" t="s">
        <v>188</v>
      </c>
      <c r="R349" t="s">
        <v>28</v>
      </c>
    </row>
    <row r="350" spans="1:18">
      <c r="A350" s="38">
        <v>44866</v>
      </c>
      <c r="B350" s="8" t="s">
        <v>272</v>
      </c>
      <c r="C350" s="8" t="s">
        <v>56</v>
      </c>
      <c r="D350" s="8" t="s">
        <v>188</v>
      </c>
      <c r="E350" s="8" t="s">
        <v>21</v>
      </c>
      <c r="F350" s="10">
        <v>5.85555555555556</v>
      </c>
      <c r="G350" s="8" t="s">
        <v>971</v>
      </c>
      <c r="H350" s="8" t="s">
        <v>103</v>
      </c>
      <c r="I350" s="8" t="s">
        <v>104</v>
      </c>
      <c r="J350" s="8" t="s">
        <v>105</v>
      </c>
      <c r="K350" s="8">
        <v>317.29</v>
      </c>
      <c r="L350" s="11">
        <v>317.29</v>
      </c>
      <c r="M350" s="8" t="s">
        <v>245</v>
      </c>
      <c r="N350" s="8" t="s">
        <v>13</v>
      </c>
      <c r="O350" s="8" t="s">
        <v>972</v>
      </c>
      <c r="P350" t="s">
        <v>95</v>
      </c>
      <c r="Q350" t="s">
        <v>20</v>
      </c>
      <c r="R350" t="s">
        <v>96</v>
      </c>
    </row>
    <row r="351" spans="1:18">
      <c r="A351" s="38">
        <v>44866</v>
      </c>
      <c r="B351" s="8" t="s">
        <v>272</v>
      </c>
      <c r="C351" s="8" t="s">
        <v>56</v>
      </c>
      <c r="D351" s="8" t="s">
        <v>188</v>
      </c>
      <c r="E351" s="8" t="s">
        <v>21</v>
      </c>
      <c r="F351" s="10">
        <v>5.25277777777778</v>
      </c>
      <c r="G351" s="8" t="s">
        <v>973</v>
      </c>
      <c r="H351" s="8" t="s">
        <v>182</v>
      </c>
      <c r="I351" s="8" t="s">
        <v>182</v>
      </c>
      <c r="J351" s="8" t="s">
        <v>25</v>
      </c>
      <c r="K351" s="8">
        <v>703.31</v>
      </c>
      <c r="L351" s="11">
        <v>703.31</v>
      </c>
      <c r="M351" s="8" t="s">
        <v>245</v>
      </c>
      <c r="N351" s="8" t="s">
        <v>52</v>
      </c>
      <c r="O351" s="8" t="s">
        <v>974</v>
      </c>
      <c r="P351" t="s">
        <v>133</v>
      </c>
      <c r="Q351" t="s">
        <v>134</v>
      </c>
      <c r="R351" t="s">
        <v>84</v>
      </c>
    </row>
    <row r="352" spans="1:18">
      <c r="A352" s="38">
        <v>45214</v>
      </c>
      <c r="B352" s="8" t="s">
        <v>272</v>
      </c>
      <c r="C352" s="8" t="s">
        <v>56</v>
      </c>
      <c r="D352" s="8" t="s">
        <v>188</v>
      </c>
      <c r="E352" s="8" t="s">
        <v>21</v>
      </c>
      <c r="F352" s="13">
        <v>5.95833333333333</v>
      </c>
      <c r="G352" s="8" t="s">
        <v>975</v>
      </c>
      <c r="H352" s="8" t="s">
        <v>182</v>
      </c>
      <c r="I352" s="8" t="s">
        <v>182</v>
      </c>
      <c r="J352" s="8" t="s">
        <v>25</v>
      </c>
      <c r="K352" s="8">
        <v>1100</v>
      </c>
      <c r="L352" s="11">
        <v>1100</v>
      </c>
      <c r="M352" s="8" t="s">
        <v>66</v>
      </c>
      <c r="N352" s="8" t="s">
        <v>13</v>
      </c>
      <c r="O352" s="8" t="s">
        <v>976</v>
      </c>
      <c r="P352" t="s">
        <v>397</v>
      </c>
      <c r="Q352" t="s">
        <v>188</v>
      </c>
      <c r="R352" t="s">
        <v>45</v>
      </c>
    </row>
    <row r="353" spans="1:18">
      <c r="A353" s="38">
        <v>45376</v>
      </c>
      <c r="B353" s="8" t="s">
        <v>272</v>
      </c>
      <c r="C353" s="8" t="s">
        <v>56</v>
      </c>
      <c r="D353" s="8" t="s">
        <v>188</v>
      </c>
      <c r="E353" s="8" t="s">
        <v>21</v>
      </c>
      <c r="F353" s="13">
        <v>5.13333333333333</v>
      </c>
      <c r="G353" s="8" t="s">
        <v>977</v>
      </c>
      <c r="H353" s="8" t="s">
        <v>86</v>
      </c>
      <c r="I353" s="8" t="s">
        <v>87</v>
      </c>
      <c r="J353" s="8" t="s">
        <v>88</v>
      </c>
      <c r="K353" s="8">
        <v>2755</v>
      </c>
      <c r="L353" s="11">
        <v>2755</v>
      </c>
      <c r="M353" s="8" t="s">
        <v>177</v>
      </c>
      <c r="N353" s="8" t="s">
        <v>13</v>
      </c>
      <c r="O353" s="8" t="s">
        <v>978</v>
      </c>
      <c r="P353" t="s">
        <v>28</v>
      </c>
      <c r="Q353" t="s">
        <v>77</v>
      </c>
      <c r="R353" t="s">
        <v>28</v>
      </c>
    </row>
    <row r="354" spans="1:18">
      <c r="A354" s="38">
        <v>45170</v>
      </c>
      <c r="B354" s="8" t="s">
        <v>979</v>
      </c>
      <c r="C354" s="8" t="s">
        <v>397</v>
      </c>
      <c r="D354" s="8" t="s">
        <v>188</v>
      </c>
      <c r="E354" s="8" t="s">
        <v>21</v>
      </c>
      <c r="F354" s="13">
        <v>8.43333333333333</v>
      </c>
      <c r="G354" s="8" t="s">
        <v>980</v>
      </c>
      <c r="H354" s="8" t="s">
        <v>91</v>
      </c>
      <c r="I354" s="8" t="s">
        <v>92</v>
      </c>
      <c r="J354" s="8" t="s">
        <v>93</v>
      </c>
      <c r="K354" s="8">
        <v>2500</v>
      </c>
      <c r="L354" s="11">
        <v>2500</v>
      </c>
      <c r="M354" s="8" t="s">
        <v>26</v>
      </c>
      <c r="N354" s="8" t="s">
        <v>13</v>
      </c>
      <c r="O354" s="8" t="s">
        <v>981</v>
      </c>
      <c r="P354" t="s">
        <v>167</v>
      </c>
      <c r="Q354" t="s">
        <v>134</v>
      </c>
      <c r="R354" t="s">
        <v>84</v>
      </c>
    </row>
    <row r="355" spans="1:18">
      <c r="A355" s="38">
        <v>45471</v>
      </c>
      <c r="B355" s="8" t="s">
        <v>979</v>
      </c>
      <c r="C355" s="8" t="s">
        <v>397</v>
      </c>
      <c r="D355" s="8" t="s">
        <v>188</v>
      </c>
      <c r="E355" s="8" t="s">
        <v>21</v>
      </c>
      <c r="F355" s="13">
        <v>8.70833333333333</v>
      </c>
      <c r="G355" s="8" t="s">
        <v>982</v>
      </c>
      <c r="H355" s="8" t="s">
        <v>641</v>
      </c>
      <c r="I355" s="8" t="s">
        <v>406</v>
      </c>
      <c r="J355" s="8" t="s">
        <v>407</v>
      </c>
      <c r="K355" s="8">
        <v>700</v>
      </c>
      <c r="L355" s="11">
        <v>700</v>
      </c>
      <c r="M355" s="8" t="s">
        <v>26</v>
      </c>
      <c r="N355" s="8" t="s">
        <v>52</v>
      </c>
      <c r="O355" s="8" t="s">
        <v>983</v>
      </c>
      <c r="P355" t="s">
        <v>47</v>
      </c>
      <c r="Q355" t="s">
        <v>20</v>
      </c>
      <c r="R355" t="s">
        <v>45</v>
      </c>
    </row>
    <row r="356" spans="1:18">
      <c r="A356" s="38">
        <v>45170</v>
      </c>
      <c r="B356" s="8" t="s">
        <v>979</v>
      </c>
      <c r="C356" s="8" t="s">
        <v>397</v>
      </c>
      <c r="D356" s="8" t="s">
        <v>188</v>
      </c>
      <c r="E356" s="8" t="s">
        <v>21</v>
      </c>
      <c r="F356" s="13">
        <v>7.33333333333333</v>
      </c>
      <c r="G356" s="8" t="s">
        <v>984</v>
      </c>
      <c r="H356" s="8" t="s">
        <v>103</v>
      </c>
      <c r="I356" s="8" t="s">
        <v>104</v>
      </c>
      <c r="J356" s="8" t="s">
        <v>105</v>
      </c>
      <c r="K356" s="8">
        <v>2400</v>
      </c>
      <c r="L356" s="11">
        <v>2400</v>
      </c>
      <c r="M356" s="8" t="s">
        <v>43</v>
      </c>
      <c r="N356" s="8" t="s">
        <v>13</v>
      </c>
      <c r="O356" s="8" t="s">
        <v>985</v>
      </c>
      <c r="P356" t="s">
        <v>107</v>
      </c>
      <c r="Q356" t="s">
        <v>20</v>
      </c>
      <c r="R356" t="s">
        <v>62</v>
      </c>
    </row>
    <row r="357" spans="1:18">
      <c r="A357" s="38">
        <v>45413</v>
      </c>
      <c r="B357" s="8" t="s">
        <v>979</v>
      </c>
      <c r="C357" s="8" t="s">
        <v>397</v>
      </c>
      <c r="D357" s="8" t="s">
        <v>188</v>
      </c>
      <c r="E357" s="8" t="s">
        <v>21</v>
      </c>
      <c r="F357" s="10">
        <v>8</v>
      </c>
      <c r="G357" s="8" t="s">
        <v>986</v>
      </c>
      <c r="H357" s="8" t="s">
        <v>405</v>
      </c>
      <c r="I357" s="8" t="s">
        <v>406</v>
      </c>
      <c r="J357" s="8" t="s">
        <v>407</v>
      </c>
      <c r="K357" s="8">
        <v>677.99959079</v>
      </c>
      <c r="L357" s="11">
        <v>677.99959079</v>
      </c>
      <c r="M357" s="8" t="s">
        <v>177</v>
      </c>
      <c r="N357" s="8" t="s">
        <v>52</v>
      </c>
      <c r="O357" s="8" t="s">
        <v>987</v>
      </c>
      <c r="P357" t="s">
        <v>150</v>
      </c>
      <c r="Q357" t="s">
        <v>151</v>
      </c>
      <c r="R357" t="s">
        <v>45</v>
      </c>
    </row>
    <row r="358" spans="1:18">
      <c r="A358" s="38">
        <v>44835</v>
      </c>
      <c r="B358" s="8" t="s">
        <v>988</v>
      </c>
      <c r="C358" s="8" t="s">
        <v>651</v>
      </c>
      <c r="D358" s="8" t="s">
        <v>188</v>
      </c>
      <c r="E358" s="8" t="s">
        <v>21</v>
      </c>
      <c r="F358" s="13">
        <v>6.41666666666667</v>
      </c>
      <c r="G358" s="8" t="s">
        <v>989</v>
      </c>
      <c r="H358" s="8" t="s">
        <v>444</v>
      </c>
      <c r="I358" s="8" t="s">
        <v>200</v>
      </c>
      <c r="J358" s="8" t="s">
        <v>201</v>
      </c>
      <c r="K358" s="8">
        <v>500</v>
      </c>
      <c r="L358" s="11">
        <v>500</v>
      </c>
      <c r="M358" s="8" t="s">
        <v>51</v>
      </c>
      <c r="N358" s="8" t="s">
        <v>13</v>
      </c>
      <c r="O358" s="8" t="s">
        <v>990</v>
      </c>
      <c r="P358" t="s">
        <v>28</v>
      </c>
      <c r="Q358" t="s">
        <v>991</v>
      </c>
      <c r="R358" t="s">
        <v>28</v>
      </c>
    </row>
    <row r="359" spans="1:18">
      <c r="A359" s="38">
        <v>45313</v>
      </c>
      <c r="B359" s="8" t="s">
        <v>625</v>
      </c>
      <c r="C359" s="8" t="s">
        <v>517</v>
      </c>
      <c r="D359" s="8" t="s">
        <v>235</v>
      </c>
      <c r="E359" s="8" t="s">
        <v>21</v>
      </c>
      <c r="F359" s="13">
        <v>6.6</v>
      </c>
      <c r="G359" s="8" t="s">
        <v>992</v>
      </c>
      <c r="H359" s="8" t="s">
        <v>205</v>
      </c>
      <c r="I359" s="8" t="s">
        <v>206</v>
      </c>
      <c r="J359" s="8" t="s">
        <v>88</v>
      </c>
      <c r="K359" s="8">
        <v>1850</v>
      </c>
      <c r="L359" s="11">
        <v>1850</v>
      </c>
      <c r="M359" s="8" t="s">
        <v>43</v>
      </c>
      <c r="N359" s="8" t="s">
        <v>13</v>
      </c>
      <c r="O359" s="8" t="s">
        <v>450</v>
      </c>
      <c r="P359" t="s">
        <v>30</v>
      </c>
      <c r="Q359" t="s">
        <v>31</v>
      </c>
      <c r="R359" t="s">
        <v>54</v>
      </c>
    </row>
    <row r="360" spans="1:18">
      <c r="A360" s="38">
        <v>44896</v>
      </c>
      <c r="B360" s="8" t="s">
        <v>993</v>
      </c>
      <c r="C360" s="8" t="s">
        <v>420</v>
      </c>
      <c r="D360" s="8" t="s">
        <v>39</v>
      </c>
      <c r="E360" s="8" t="s">
        <v>32</v>
      </c>
      <c r="F360" s="10">
        <v>8.93</v>
      </c>
      <c r="G360" s="8" t="s">
        <v>994</v>
      </c>
      <c r="H360" s="8" t="s">
        <v>165</v>
      </c>
      <c r="I360" s="8" t="s">
        <v>165</v>
      </c>
      <c r="J360" s="8" t="s">
        <v>50</v>
      </c>
      <c r="K360" s="8">
        <v>1427.66</v>
      </c>
      <c r="L360" s="11">
        <v>1427.66</v>
      </c>
      <c r="M360" s="8" t="s">
        <v>43</v>
      </c>
      <c r="N360" s="8" t="s">
        <v>13</v>
      </c>
      <c r="O360" s="8" t="s">
        <v>614</v>
      </c>
      <c r="P360" t="s">
        <v>276</v>
      </c>
      <c r="Q360" t="s">
        <v>39</v>
      </c>
      <c r="R360" t="s">
        <v>54</v>
      </c>
    </row>
    <row r="361" spans="1:18">
      <c r="A361" s="38">
        <v>44805</v>
      </c>
      <c r="B361" s="8" t="s">
        <v>625</v>
      </c>
      <c r="C361" s="8" t="s">
        <v>517</v>
      </c>
      <c r="D361" s="8" t="s">
        <v>235</v>
      </c>
      <c r="E361" s="8" t="s">
        <v>21</v>
      </c>
      <c r="F361" s="10">
        <v>6.13</v>
      </c>
      <c r="G361" s="8" t="s">
        <v>995</v>
      </c>
      <c r="H361" s="8" t="s">
        <v>291</v>
      </c>
      <c r="I361" s="8" t="s">
        <v>87</v>
      </c>
      <c r="J361" s="8" t="s">
        <v>88</v>
      </c>
      <c r="K361" s="8">
        <v>161</v>
      </c>
      <c r="L361" s="11">
        <v>161</v>
      </c>
      <c r="M361" s="8" t="s">
        <v>245</v>
      </c>
      <c r="N361" s="8" t="s">
        <v>13</v>
      </c>
      <c r="O361" s="8" t="s">
        <v>996</v>
      </c>
      <c r="P361" t="s">
        <v>28</v>
      </c>
      <c r="Q361" t="s">
        <v>31</v>
      </c>
      <c r="R361" t="s">
        <v>28</v>
      </c>
    </row>
    <row r="362" spans="1:18">
      <c r="A362" s="38">
        <v>44804</v>
      </c>
      <c r="B362" s="8" t="s">
        <v>997</v>
      </c>
      <c r="C362" s="8" t="s">
        <v>797</v>
      </c>
      <c r="D362" s="8" t="s">
        <v>151</v>
      </c>
      <c r="E362" s="8" t="s">
        <v>21</v>
      </c>
      <c r="F362" s="10">
        <v>4.42</v>
      </c>
      <c r="G362" s="8" t="s">
        <v>998</v>
      </c>
      <c r="H362" s="8" t="s">
        <v>343</v>
      </c>
      <c r="I362" s="8" t="s">
        <v>99</v>
      </c>
      <c r="J362" s="8" t="s">
        <v>100</v>
      </c>
      <c r="K362" s="8">
        <v>1000</v>
      </c>
      <c r="L362" s="11">
        <v>1000</v>
      </c>
      <c r="M362" s="8" t="s">
        <v>51</v>
      </c>
      <c r="N362" s="8" t="s">
        <v>13</v>
      </c>
      <c r="O362" s="8" t="s">
        <v>999</v>
      </c>
      <c r="P362" t="s">
        <v>293</v>
      </c>
      <c r="Q362" t="s">
        <v>39</v>
      </c>
      <c r="R362" t="s">
        <v>62</v>
      </c>
    </row>
    <row r="363" spans="1:18">
      <c r="A363" s="38">
        <v>45394</v>
      </c>
      <c r="B363" s="8" t="s">
        <v>1000</v>
      </c>
      <c r="C363" s="8" t="s">
        <v>148</v>
      </c>
      <c r="D363" s="8" t="s">
        <v>57</v>
      </c>
      <c r="E363" s="8" t="s">
        <v>32</v>
      </c>
      <c r="F363" s="13">
        <v>4.125</v>
      </c>
      <c r="G363" s="8" t="s">
        <v>1001</v>
      </c>
      <c r="H363" s="8" t="s">
        <v>159</v>
      </c>
      <c r="I363" s="8" t="s">
        <v>160</v>
      </c>
      <c r="J363" s="8" t="s">
        <v>161</v>
      </c>
      <c r="K363" s="8">
        <v>969</v>
      </c>
      <c r="L363" s="11">
        <v>969</v>
      </c>
      <c r="M363" s="8" t="s">
        <v>43</v>
      </c>
      <c r="N363" s="8" t="s">
        <v>13</v>
      </c>
      <c r="O363" s="8" t="s">
        <v>1002</v>
      </c>
      <c r="P363" t="s">
        <v>148</v>
      </c>
      <c r="Q363" t="s">
        <v>57</v>
      </c>
      <c r="R363" t="s">
        <v>96</v>
      </c>
    </row>
    <row r="364" spans="1:18">
      <c r="A364" s="38">
        <v>45302</v>
      </c>
      <c r="B364" s="8" t="s">
        <v>1000</v>
      </c>
      <c r="C364" s="8" t="s">
        <v>148</v>
      </c>
      <c r="D364" s="8" t="s">
        <v>57</v>
      </c>
      <c r="E364" s="8" t="s">
        <v>32</v>
      </c>
      <c r="F364" s="13">
        <v>8.25</v>
      </c>
      <c r="G364" s="8" t="s">
        <v>1003</v>
      </c>
      <c r="H364" s="8" t="s">
        <v>239</v>
      </c>
      <c r="I364" s="8" t="s">
        <v>200</v>
      </c>
      <c r="J364" s="8" t="s">
        <v>201</v>
      </c>
      <c r="K364" s="8">
        <v>4500</v>
      </c>
      <c r="L364" s="11">
        <v>4500</v>
      </c>
      <c r="M364" s="8" t="s">
        <v>75</v>
      </c>
      <c r="N364" s="8" t="s">
        <v>13</v>
      </c>
      <c r="O364" s="8" t="s">
        <v>1004</v>
      </c>
      <c r="P364" t="s">
        <v>148</v>
      </c>
      <c r="Q364" t="s">
        <v>57</v>
      </c>
      <c r="R364" t="s">
        <v>96</v>
      </c>
    </row>
    <row r="365" ht="28" spans="1:18">
      <c r="A365" s="38">
        <v>45413</v>
      </c>
      <c r="B365" s="8" t="s">
        <v>1000</v>
      </c>
      <c r="C365" s="8" t="s">
        <v>148</v>
      </c>
      <c r="D365" s="8" t="s">
        <v>57</v>
      </c>
      <c r="E365" s="8" t="s">
        <v>32</v>
      </c>
      <c r="F365" s="10">
        <v>6.82916666666667</v>
      </c>
      <c r="G365" s="8" t="s">
        <v>1005</v>
      </c>
      <c r="J365" s="8" t="s">
        <v>100</v>
      </c>
      <c r="K365" s="8">
        <v>1558.83</v>
      </c>
      <c r="L365" s="11">
        <v>1558.83</v>
      </c>
      <c r="M365" s="8" t="s">
        <v>37</v>
      </c>
      <c r="N365" s="8" t="s">
        <v>52</v>
      </c>
      <c r="O365" s="8" t="s">
        <v>1006</v>
      </c>
      <c r="P365" t="s">
        <v>192</v>
      </c>
      <c r="Q365" t="s">
        <v>57</v>
      </c>
      <c r="R365" t="s">
        <v>96</v>
      </c>
    </row>
    <row r="366" spans="1:18">
      <c r="A366" s="38">
        <v>45505</v>
      </c>
      <c r="B366" s="8" t="s">
        <v>1000</v>
      </c>
      <c r="C366" s="8" t="s">
        <v>148</v>
      </c>
      <c r="D366" s="8" t="s">
        <v>57</v>
      </c>
      <c r="E366" s="8" t="s">
        <v>32</v>
      </c>
      <c r="F366" s="13">
        <v>6.6</v>
      </c>
      <c r="G366" s="8" t="s">
        <v>1007</v>
      </c>
      <c r="H366" s="8" t="s">
        <v>199</v>
      </c>
      <c r="I366" s="8" t="s">
        <v>200</v>
      </c>
      <c r="J366" s="8" t="s">
        <v>201</v>
      </c>
      <c r="K366" s="8">
        <v>3200</v>
      </c>
      <c r="L366" s="11">
        <v>3200</v>
      </c>
      <c r="M366" s="8" t="s">
        <v>43</v>
      </c>
      <c r="N366" s="8" t="s">
        <v>13</v>
      </c>
      <c r="O366" s="8" t="s">
        <v>1008</v>
      </c>
      <c r="P366" t="s">
        <v>150</v>
      </c>
      <c r="Q366" t="s">
        <v>151</v>
      </c>
      <c r="R366" t="s">
        <v>45</v>
      </c>
    </row>
    <row r="367" spans="1:18">
      <c r="A367" s="38">
        <v>45505</v>
      </c>
      <c r="B367" s="8" t="s">
        <v>1009</v>
      </c>
      <c r="C367" s="8" t="s">
        <v>72</v>
      </c>
      <c r="D367" s="8" t="s">
        <v>39</v>
      </c>
      <c r="E367" s="8" t="s">
        <v>21</v>
      </c>
      <c r="F367" s="13">
        <v>4.58333333333333</v>
      </c>
      <c r="G367" s="8" t="s">
        <v>1010</v>
      </c>
      <c r="H367" s="8" t="s">
        <v>575</v>
      </c>
      <c r="I367" s="8" t="s">
        <v>206</v>
      </c>
      <c r="J367" s="8" t="s">
        <v>88</v>
      </c>
      <c r="K367" s="8">
        <v>10000</v>
      </c>
      <c r="L367" s="11">
        <v>10000</v>
      </c>
      <c r="M367" s="8" t="s">
        <v>43</v>
      </c>
      <c r="N367" s="8" t="s">
        <v>13</v>
      </c>
      <c r="O367" s="8" t="s">
        <v>1011</v>
      </c>
      <c r="P367" t="s">
        <v>72</v>
      </c>
      <c r="Q367" t="s">
        <v>39</v>
      </c>
      <c r="R367" t="s">
        <v>84</v>
      </c>
    </row>
    <row r="368" spans="1:18">
      <c r="A368" s="38">
        <v>44774</v>
      </c>
      <c r="B368" s="8" t="s">
        <v>1009</v>
      </c>
      <c r="C368" s="8" t="s">
        <v>72</v>
      </c>
      <c r="D368" s="8" t="s">
        <v>39</v>
      </c>
      <c r="E368" s="8" t="s">
        <v>21</v>
      </c>
      <c r="F368" s="10">
        <v>6.8</v>
      </c>
      <c r="G368" s="8" t="s">
        <v>1012</v>
      </c>
      <c r="H368" s="8" t="s">
        <v>913</v>
      </c>
      <c r="I368" s="8" t="s">
        <v>126</v>
      </c>
      <c r="J368" s="8" t="s">
        <v>127</v>
      </c>
      <c r="K368" s="8">
        <v>652.32</v>
      </c>
      <c r="L368" s="11">
        <v>652.32</v>
      </c>
      <c r="M368" s="8" t="s">
        <v>43</v>
      </c>
      <c r="N368" s="8" t="s">
        <v>13</v>
      </c>
      <c r="O368" s="8" t="s">
        <v>1013</v>
      </c>
      <c r="P368" t="s">
        <v>28</v>
      </c>
      <c r="Q368" t="s">
        <v>68</v>
      </c>
      <c r="R368" t="s">
        <v>28</v>
      </c>
    </row>
    <row r="369" spans="1:18">
      <c r="A369" s="38">
        <v>45044</v>
      </c>
      <c r="B369" s="8" t="s">
        <v>1009</v>
      </c>
      <c r="C369" s="8" t="s">
        <v>72</v>
      </c>
      <c r="D369" s="8" t="s">
        <v>39</v>
      </c>
      <c r="E369" s="8" t="s">
        <v>21</v>
      </c>
      <c r="F369" s="13">
        <v>5.5</v>
      </c>
      <c r="G369" s="8" t="s">
        <v>1014</v>
      </c>
      <c r="H369" s="8" t="s">
        <v>185</v>
      </c>
      <c r="I369" s="8" t="s">
        <v>185</v>
      </c>
      <c r="J369" s="8" t="s">
        <v>25</v>
      </c>
      <c r="K369" s="8">
        <v>1700</v>
      </c>
      <c r="L369" s="11">
        <v>1700</v>
      </c>
      <c r="M369" s="8" t="s">
        <v>43</v>
      </c>
      <c r="N369" s="8" t="s">
        <v>13</v>
      </c>
      <c r="O369" s="8" t="s">
        <v>1015</v>
      </c>
      <c r="P369" t="s">
        <v>28</v>
      </c>
      <c r="Q369" t="s">
        <v>39</v>
      </c>
      <c r="R369" t="s">
        <v>28</v>
      </c>
    </row>
    <row r="370" spans="1:18">
      <c r="A370" s="38">
        <v>45078</v>
      </c>
      <c r="B370" s="8" t="s">
        <v>1009</v>
      </c>
      <c r="C370" s="8" t="s">
        <v>72</v>
      </c>
      <c r="D370" s="8" t="s">
        <v>39</v>
      </c>
      <c r="E370" s="8" t="s">
        <v>21</v>
      </c>
      <c r="F370" s="13">
        <v>6.14166666666667</v>
      </c>
      <c r="G370" s="8" t="s">
        <v>1016</v>
      </c>
      <c r="H370" s="8" t="s">
        <v>59</v>
      </c>
      <c r="I370" s="8" t="s">
        <v>59</v>
      </c>
      <c r="J370" s="8" t="s">
        <v>25</v>
      </c>
      <c r="K370" s="8">
        <v>400</v>
      </c>
      <c r="L370" s="11">
        <v>400</v>
      </c>
      <c r="M370" s="8" t="s">
        <v>66</v>
      </c>
      <c r="N370" s="8" t="s">
        <v>13</v>
      </c>
      <c r="O370" s="8" t="s">
        <v>1017</v>
      </c>
      <c r="P370" t="s">
        <v>28</v>
      </c>
      <c r="Q370" t="s">
        <v>188</v>
      </c>
      <c r="R370" t="s">
        <v>28</v>
      </c>
    </row>
    <row r="371" spans="1:18">
      <c r="A371" s="38">
        <v>45289</v>
      </c>
      <c r="B371" s="8" t="s">
        <v>1009</v>
      </c>
      <c r="C371" s="8" t="s">
        <v>72</v>
      </c>
      <c r="D371" s="8" t="s">
        <v>39</v>
      </c>
      <c r="E371" s="8" t="s">
        <v>21</v>
      </c>
      <c r="F371" s="13">
        <v>5.95833333333333</v>
      </c>
      <c r="G371" s="8" t="s">
        <v>1018</v>
      </c>
      <c r="H371" s="8" t="s">
        <v>1019</v>
      </c>
      <c r="I371" s="8" t="s">
        <v>160</v>
      </c>
      <c r="J371" s="8" t="s">
        <v>161</v>
      </c>
      <c r="K371" s="8">
        <v>1300</v>
      </c>
      <c r="L371" s="11">
        <v>1300</v>
      </c>
      <c r="M371" s="8" t="s">
        <v>43</v>
      </c>
      <c r="N371" s="8" t="s">
        <v>52</v>
      </c>
      <c r="O371" s="8" t="s">
        <v>1020</v>
      </c>
      <c r="P371" t="s">
        <v>140</v>
      </c>
      <c r="Q371" t="s">
        <v>20</v>
      </c>
      <c r="R371" t="s">
        <v>54</v>
      </c>
    </row>
    <row r="372" spans="1:18">
      <c r="A372" s="38">
        <v>45108</v>
      </c>
      <c r="B372" s="8" t="s">
        <v>1021</v>
      </c>
      <c r="C372" s="8" t="s">
        <v>140</v>
      </c>
      <c r="D372" s="8" t="s">
        <v>20</v>
      </c>
      <c r="E372" s="8" t="s">
        <v>32</v>
      </c>
      <c r="F372" s="10">
        <v>9.72</v>
      </c>
      <c r="G372" s="8" t="s">
        <v>1022</v>
      </c>
      <c r="H372" s="8" t="s">
        <v>59</v>
      </c>
      <c r="I372" s="8" t="s">
        <v>59</v>
      </c>
      <c r="J372" s="8" t="s">
        <v>25</v>
      </c>
      <c r="K372" s="8">
        <v>1725.48</v>
      </c>
      <c r="L372" s="11">
        <v>1725.48</v>
      </c>
      <c r="M372" s="8" t="s">
        <v>51</v>
      </c>
      <c r="N372" s="8" t="s">
        <v>13</v>
      </c>
      <c r="O372" s="8" t="s">
        <v>1023</v>
      </c>
      <c r="P372" t="s">
        <v>107</v>
      </c>
      <c r="Q372" t="s">
        <v>20</v>
      </c>
      <c r="R372" t="s">
        <v>62</v>
      </c>
    </row>
    <row r="373" spans="1:18">
      <c r="A373" s="38">
        <v>45448</v>
      </c>
      <c r="B373" s="8" t="s">
        <v>516</v>
      </c>
      <c r="C373" s="8" t="s">
        <v>517</v>
      </c>
      <c r="D373" s="8" t="s">
        <v>235</v>
      </c>
      <c r="E373" s="8" t="s">
        <v>21</v>
      </c>
      <c r="F373" s="13">
        <v>5.86666666666667</v>
      </c>
      <c r="G373" s="8" t="s">
        <v>1024</v>
      </c>
      <c r="H373" s="8" t="s">
        <v>557</v>
      </c>
      <c r="I373" s="8" t="s">
        <v>378</v>
      </c>
      <c r="J373" s="8" t="s">
        <v>88</v>
      </c>
      <c r="K373" s="8">
        <v>2400</v>
      </c>
      <c r="L373" s="11">
        <v>2400</v>
      </c>
      <c r="M373" s="8" t="s">
        <v>26</v>
      </c>
      <c r="N373" s="8" t="s">
        <v>52</v>
      </c>
      <c r="O373" s="8" t="s">
        <v>558</v>
      </c>
      <c r="P373" t="s">
        <v>30</v>
      </c>
      <c r="Q373" t="s">
        <v>31</v>
      </c>
      <c r="R373" t="s">
        <v>54</v>
      </c>
    </row>
    <row r="374" spans="1:18">
      <c r="A374" s="38">
        <v>45323.5699884259</v>
      </c>
      <c r="B374" s="8" t="s">
        <v>71</v>
      </c>
      <c r="C374" s="8" t="s">
        <v>72</v>
      </c>
      <c r="D374" s="8" t="s">
        <v>39</v>
      </c>
      <c r="E374" s="8" t="s">
        <v>21</v>
      </c>
      <c r="F374" s="10">
        <v>6.1</v>
      </c>
      <c r="G374" s="8" t="s">
        <v>1025</v>
      </c>
      <c r="H374" s="8" t="s">
        <v>171</v>
      </c>
      <c r="I374" s="8" t="s">
        <v>171</v>
      </c>
      <c r="J374" s="8" t="s">
        <v>50</v>
      </c>
      <c r="K374" s="8">
        <v>599.52</v>
      </c>
      <c r="L374" s="11">
        <v>599.52</v>
      </c>
      <c r="M374" s="8" t="s">
        <v>66</v>
      </c>
      <c r="N374" s="8" t="s">
        <v>52</v>
      </c>
      <c r="O374" s="8" t="s">
        <v>614</v>
      </c>
      <c r="P374" t="s">
        <v>276</v>
      </c>
      <c r="Q374" t="s">
        <v>39</v>
      </c>
      <c r="R374" t="s">
        <v>54</v>
      </c>
    </row>
    <row r="375" spans="1:18">
      <c r="A375" s="38">
        <v>45261</v>
      </c>
      <c r="B375" s="8" t="s">
        <v>516</v>
      </c>
      <c r="C375" s="8" t="s">
        <v>517</v>
      </c>
      <c r="D375" s="8" t="s">
        <v>235</v>
      </c>
      <c r="E375" s="8" t="s">
        <v>21</v>
      </c>
      <c r="F375" s="13">
        <v>6.875</v>
      </c>
      <c r="G375" s="8" t="s">
        <v>1026</v>
      </c>
      <c r="H375" s="8" t="s">
        <v>199</v>
      </c>
      <c r="I375" s="8" t="s">
        <v>200</v>
      </c>
      <c r="J375" s="8" t="s">
        <v>201</v>
      </c>
      <c r="K375" s="8">
        <v>1200</v>
      </c>
      <c r="L375" s="11">
        <v>1000</v>
      </c>
      <c r="M375" s="8" t="s">
        <v>43</v>
      </c>
      <c r="N375" s="8" t="s">
        <v>52</v>
      </c>
      <c r="O375" s="8" t="s">
        <v>726</v>
      </c>
      <c r="P375" t="s">
        <v>122</v>
      </c>
      <c r="Q375" t="s">
        <v>68</v>
      </c>
      <c r="R375" t="s">
        <v>54</v>
      </c>
    </row>
    <row r="376" spans="1:18">
      <c r="A376" s="38">
        <v>44986</v>
      </c>
      <c r="B376" s="8" t="s">
        <v>516</v>
      </c>
      <c r="C376" s="8" t="s">
        <v>517</v>
      </c>
      <c r="D376" s="8" t="s">
        <v>235</v>
      </c>
      <c r="E376" s="8" t="s">
        <v>21</v>
      </c>
      <c r="F376" s="10">
        <v>7.8</v>
      </c>
      <c r="G376" s="8" t="s">
        <v>1027</v>
      </c>
      <c r="H376" s="8" t="s">
        <v>619</v>
      </c>
      <c r="I376" s="8" t="s">
        <v>176</v>
      </c>
      <c r="J376" s="8" t="s">
        <v>100</v>
      </c>
      <c r="K376" s="8">
        <v>1703.44</v>
      </c>
      <c r="L376" s="11">
        <v>1703.44</v>
      </c>
      <c r="M376" s="8" t="s">
        <v>26</v>
      </c>
      <c r="N376" s="8" t="s">
        <v>13</v>
      </c>
      <c r="O376" s="8" t="s">
        <v>1028</v>
      </c>
      <c r="P376" t="s">
        <v>397</v>
      </c>
      <c r="Q376" t="s">
        <v>188</v>
      </c>
      <c r="R376" t="s">
        <v>45</v>
      </c>
    </row>
    <row r="377" spans="1:18">
      <c r="A377" s="38">
        <v>45017</v>
      </c>
      <c r="B377" s="8" t="s">
        <v>516</v>
      </c>
      <c r="C377" s="8" t="s">
        <v>517</v>
      </c>
      <c r="D377" s="8" t="s">
        <v>235</v>
      </c>
      <c r="E377" s="8" t="s">
        <v>21</v>
      </c>
      <c r="F377" s="10">
        <v>7.8</v>
      </c>
      <c r="G377" s="8" t="s">
        <v>1029</v>
      </c>
      <c r="H377" s="8" t="s">
        <v>619</v>
      </c>
      <c r="I377" s="8" t="s">
        <v>176</v>
      </c>
      <c r="J377" s="8" t="s">
        <v>100</v>
      </c>
      <c r="K377" s="8">
        <v>304.03</v>
      </c>
      <c r="L377" s="11">
        <v>304.03</v>
      </c>
      <c r="M377" s="8" t="s">
        <v>26</v>
      </c>
      <c r="N377" s="8" t="s">
        <v>13</v>
      </c>
      <c r="O377" s="8" t="s">
        <v>1028</v>
      </c>
      <c r="P377" t="s">
        <v>397</v>
      </c>
      <c r="Q377" t="s">
        <v>188</v>
      </c>
      <c r="R377" t="s">
        <v>45</v>
      </c>
    </row>
    <row r="378" spans="1:18">
      <c r="A378" s="38">
        <v>44866</v>
      </c>
      <c r="B378" s="8" t="s">
        <v>639</v>
      </c>
      <c r="C378" s="8" t="s">
        <v>83</v>
      </c>
      <c r="D378" s="8" t="s">
        <v>68</v>
      </c>
      <c r="E378" s="8" t="s">
        <v>21</v>
      </c>
      <c r="F378" s="13">
        <v>9.625</v>
      </c>
      <c r="G378" s="8" t="s">
        <v>1030</v>
      </c>
      <c r="H378" s="8" t="s">
        <v>477</v>
      </c>
      <c r="I378" s="8" t="s">
        <v>477</v>
      </c>
      <c r="J378" s="8" t="s">
        <v>50</v>
      </c>
      <c r="K378" s="8">
        <v>467.78</v>
      </c>
      <c r="L378" s="11">
        <v>467.78</v>
      </c>
      <c r="M378" s="8" t="s">
        <v>66</v>
      </c>
      <c r="N378" s="8" t="s">
        <v>52</v>
      </c>
      <c r="O378" s="8" t="s">
        <v>1031</v>
      </c>
      <c r="P378" t="s">
        <v>122</v>
      </c>
      <c r="Q378" t="s">
        <v>68</v>
      </c>
      <c r="R378" t="s">
        <v>54</v>
      </c>
    </row>
    <row r="379" spans="1:18">
      <c r="A379" s="38">
        <v>44638</v>
      </c>
      <c r="B379" s="8" t="s">
        <v>472</v>
      </c>
      <c r="C379" s="8" t="s">
        <v>463</v>
      </c>
      <c r="D379" s="8" t="s">
        <v>111</v>
      </c>
      <c r="E379" s="8" t="s">
        <v>21</v>
      </c>
      <c r="F379" s="13">
        <v>8.525</v>
      </c>
      <c r="G379" s="8" t="s">
        <v>1032</v>
      </c>
      <c r="H379" s="8" t="s">
        <v>171</v>
      </c>
      <c r="I379" s="8" t="s">
        <v>171</v>
      </c>
      <c r="J379" s="8" t="s">
        <v>50</v>
      </c>
      <c r="K379" s="8">
        <v>200</v>
      </c>
      <c r="L379" s="11">
        <v>200</v>
      </c>
      <c r="M379" s="8" t="s">
        <v>51</v>
      </c>
      <c r="N379" s="8" t="s">
        <v>13</v>
      </c>
      <c r="O379" s="8" t="s">
        <v>1033</v>
      </c>
      <c r="P379" t="s">
        <v>122</v>
      </c>
      <c r="Q379" t="s">
        <v>68</v>
      </c>
      <c r="R379" t="s">
        <v>54</v>
      </c>
    </row>
    <row r="380" spans="1:18">
      <c r="A380" s="38">
        <v>44927</v>
      </c>
      <c r="B380" s="8" t="s">
        <v>516</v>
      </c>
      <c r="C380" s="8" t="s">
        <v>517</v>
      </c>
      <c r="D380" s="8" t="s">
        <v>235</v>
      </c>
      <c r="E380" s="8" t="s">
        <v>21</v>
      </c>
      <c r="F380" s="10">
        <v>6.875</v>
      </c>
      <c r="G380" s="8" t="s">
        <v>1034</v>
      </c>
      <c r="H380" s="8" t="s">
        <v>199</v>
      </c>
      <c r="I380" s="8" t="s">
        <v>200</v>
      </c>
      <c r="J380" s="8" t="s">
        <v>201</v>
      </c>
      <c r="K380" s="8">
        <v>1200</v>
      </c>
      <c r="L380" s="11">
        <v>1200</v>
      </c>
      <c r="M380" s="8" t="s">
        <v>43</v>
      </c>
      <c r="N380" s="8" t="s">
        <v>13</v>
      </c>
      <c r="O380" s="8" t="s">
        <v>1035</v>
      </c>
      <c r="P380" t="s">
        <v>28</v>
      </c>
      <c r="Q380" t="s">
        <v>31</v>
      </c>
      <c r="R380" t="s">
        <v>28</v>
      </c>
    </row>
    <row r="381" spans="1:18">
      <c r="A381" s="38">
        <v>45352.5699884259</v>
      </c>
      <c r="B381" s="8" t="s">
        <v>516</v>
      </c>
      <c r="C381" s="8" t="s">
        <v>517</v>
      </c>
      <c r="D381" s="8" t="s">
        <v>235</v>
      </c>
      <c r="E381" s="8" t="s">
        <v>21</v>
      </c>
      <c r="F381" s="10">
        <v>8.2</v>
      </c>
      <c r="G381" s="8" t="s">
        <v>1036</v>
      </c>
      <c r="H381" s="8" t="s">
        <v>199</v>
      </c>
      <c r="I381" s="8" t="s">
        <v>200</v>
      </c>
      <c r="J381" s="8" t="s">
        <v>201</v>
      </c>
      <c r="K381" s="8">
        <v>5104.7</v>
      </c>
      <c r="L381" s="11">
        <v>5104.7</v>
      </c>
      <c r="M381" s="8" t="s">
        <v>43</v>
      </c>
      <c r="N381" s="8" t="s">
        <v>13</v>
      </c>
      <c r="O381" s="8" t="s">
        <v>1037</v>
      </c>
      <c r="P381" t="s">
        <v>28</v>
      </c>
      <c r="Q381" t="s">
        <v>31</v>
      </c>
      <c r="R381" t="s">
        <v>28</v>
      </c>
    </row>
    <row r="382" spans="1:18">
      <c r="A382" s="38">
        <v>45078</v>
      </c>
      <c r="B382" s="8" t="s">
        <v>516</v>
      </c>
      <c r="C382" s="8" t="s">
        <v>517</v>
      </c>
      <c r="D382" s="8" t="s">
        <v>235</v>
      </c>
      <c r="E382" s="8" t="s">
        <v>21</v>
      </c>
      <c r="F382" s="10">
        <v>8.66666666666667</v>
      </c>
      <c r="G382" s="8" t="s">
        <v>1038</v>
      </c>
      <c r="H382" s="8" t="s">
        <v>529</v>
      </c>
      <c r="I382" s="8" t="s">
        <v>126</v>
      </c>
      <c r="J382" s="8" t="s">
        <v>127</v>
      </c>
      <c r="K382" s="8">
        <v>2556.74</v>
      </c>
      <c r="L382" s="11">
        <v>2556.74</v>
      </c>
      <c r="M382" s="8" t="s">
        <v>66</v>
      </c>
      <c r="N382" s="8" t="s">
        <v>52</v>
      </c>
      <c r="O382" s="8" t="s">
        <v>1039</v>
      </c>
      <c r="P382" t="s">
        <v>122</v>
      </c>
      <c r="Q382" t="s">
        <v>68</v>
      </c>
      <c r="R382" t="s">
        <v>54</v>
      </c>
    </row>
    <row r="383" spans="1:18">
      <c r="A383" s="38">
        <v>44734</v>
      </c>
      <c r="B383" s="8" t="s">
        <v>516</v>
      </c>
      <c r="C383" s="8" t="s">
        <v>517</v>
      </c>
      <c r="D383" s="8" t="s">
        <v>235</v>
      </c>
      <c r="E383" s="8" t="s">
        <v>21</v>
      </c>
      <c r="F383" s="10">
        <v>8</v>
      </c>
      <c r="G383" s="8" t="s">
        <v>1040</v>
      </c>
      <c r="H383" s="8" t="s">
        <v>199</v>
      </c>
      <c r="I383" s="8" t="s">
        <v>200</v>
      </c>
      <c r="J383" s="8" t="s">
        <v>201</v>
      </c>
      <c r="K383" s="8">
        <v>4000</v>
      </c>
      <c r="L383" s="11">
        <v>4000</v>
      </c>
      <c r="M383" s="8" t="s">
        <v>66</v>
      </c>
      <c r="N383" s="8" t="s">
        <v>52</v>
      </c>
      <c r="O383" s="8" t="s">
        <v>668</v>
      </c>
      <c r="P383" t="s">
        <v>30</v>
      </c>
      <c r="Q383" t="s">
        <v>31</v>
      </c>
      <c r="R383" t="s">
        <v>54</v>
      </c>
    </row>
    <row r="384" spans="1:18">
      <c r="A384" s="38">
        <v>44788</v>
      </c>
      <c r="B384" s="8" t="s">
        <v>516</v>
      </c>
      <c r="C384" s="8" t="s">
        <v>517</v>
      </c>
      <c r="D384" s="8" t="s">
        <v>235</v>
      </c>
      <c r="E384" s="8" t="s">
        <v>21</v>
      </c>
      <c r="F384" s="13">
        <v>8.25</v>
      </c>
      <c r="G384" s="8" t="s">
        <v>1041</v>
      </c>
      <c r="H384" s="8" t="s">
        <v>314</v>
      </c>
      <c r="I384" s="8" t="s">
        <v>200</v>
      </c>
      <c r="J384" s="8" t="s">
        <v>201</v>
      </c>
      <c r="K384" s="8">
        <v>4400</v>
      </c>
      <c r="L384" s="11">
        <v>4400</v>
      </c>
      <c r="M384" s="8" t="s">
        <v>66</v>
      </c>
      <c r="N384" s="8" t="s">
        <v>52</v>
      </c>
      <c r="O384" s="8" t="s">
        <v>668</v>
      </c>
      <c r="P384" t="s">
        <v>30</v>
      </c>
      <c r="Q384" t="s">
        <v>31</v>
      </c>
      <c r="R384" t="s">
        <v>54</v>
      </c>
    </row>
    <row r="385" spans="1:18">
      <c r="A385" s="38">
        <v>45200</v>
      </c>
      <c r="B385" s="8" t="s">
        <v>516</v>
      </c>
      <c r="C385" s="8" t="s">
        <v>517</v>
      </c>
      <c r="D385" s="8" t="s">
        <v>235</v>
      </c>
      <c r="E385" s="8" t="s">
        <v>21</v>
      </c>
      <c r="F385" s="10">
        <v>10.3583333333333</v>
      </c>
      <c r="G385" s="8" t="s">
        <v>1042</v>
      </c>
      <c r="H385" s="8" t="s">
        <v>171</v>
      </c>
      <c r="I385" s="8" t="s">
        <v>171</v>
      </c>
      <c r="J385" s="8" t="s">
        <v>50</v>
      </c>
      <c r="K385" s="8">
        <v>417.63</v>
      </c>
      <c r="L385" s="11">
        <v>417.63</v>
      </c>
      <c r="M385" s="8" t="s">
        <v>43</v>
      </c>
      <c r="N385" s="8" t="s">
        <v>13</v>
      </c>
      <c r="O385" s="8" t="s">
        <v>1043</v>
      </c>
      <c r="P385" t="s">
        <v>19</v>
      </c>
      <c r="Q385" t="s">
        <v>20</v>
      </c>
      <c r="R385" t="s">
        <v>45</v>
      </c>
    </row>
    <row r="386" spans="1:18">
      <c r="A386" s="38">
        <v>44896</v>
      </c>
      <c r="B386" s="8" t="s">
        <v>516</v>
      </c>
      <c r="C386" s="8" t="s">
        <v>517</v>
      </c>
      <c r="D386" s="8" t="s">
        <v>235</v>
      </c>
      <c r="E386" s="8" t="s">
        <v>21</v>
      </c>
      <c r="F386" s="10">
        <v>7.7</v>
      </c>
      <c r="G386" s="8" t="s">
        <v>1044</v>
      </c>
      <c r="H386" s="8" t="s">
        <v>570</v>
      </c>
      <c r="I386" s="8" t="s">
        <v>80</v>
      </c>
      <c r="J386" s="8" t="s">
        <v>81</v>
      </c>
      <c r="K386" s="8">
        <v>1212.3</v>
      </c>
      <c r="L386" s="11">
        <v>1212.3</v>
      </c>
      <c r="M386" s="8" t="s">
        <v>66</v>
      </c>
      <c r="N386" s="8" t="s">
        <v>13</v>
      </c>
      <c r="O386" s="8" t="s">
        <v>1045</v>
      </c>
      <c r="P386" t="s">
        <v>83</v>
      </c>
      <c r="Q386" t="s">
        <v>68</v>
      </c>
      <c r="R386" t="s">
        <v>84</v>
      </c>
    </row>
    <row r="387" spans="1:18">
      <c r="A387" s="38">
        <v>45444</v>
      </c>
      <c r="B387" s="8" t="s">
        <v>1046</v>
      </c>
      <c r="C387" s="8" t="s">
        <v>95</v>
      </c>
      <c r="D387" s="8" t="s">
        <v>20</v>
      </c>
      <c r="E387" s="8" t="s">
        <v>32</v>
      </c>
      <c r="F387" s="10">
        <v>7.2</v>
      </c>
      <c r="G387" s="8" t="s">
        <v>1047</v>
      </c>
      <c r="H387" s="8" t="s">
        <v>165</v>
      </c>
      <c r="I387" s="8" t="s">
        <v>165</v>
      </c>
      <c r="J387" s="8" t="s">
        <v>50</v>
      </c>
      <c r="K387" s="8">
        <v>5682.52</v>
      </c>
      <c r="L387" s="11">
        <v>5682.52</v>
      </c>
      <c r="M387" s="8" t="s">
        <v>212</v>
      </c>
      <c r="N387" s="8" t="s">
        <v>13</v>
      </c>
      <c r="O387" s="8" t="s">
        <v>1048</v>
      </c>
      <c r="P387" t="s">
        <v>95</v>
      </c>
      <c r="Q387" t="s">
        <v>20</v>
      </c>
      <c r="R387" t="s">
        <v>96</v>
      </c>
    </row>
    <row r="388" spans="1:18">
      <c r="A388" s="38">
        <v>45170</v>
      </c>
      <c r="B388" s="8" t="s">
        <v>516</v>
      </c>
      <c r="C388" s="8" t="s">
        <v>517</v>
      </c>
      <c r="D388" s="8" t="s">
        <v>235</v>
      </c>
      <c r="E388" s="8" t="s">
        <v>21</v>
      </c>
      <c r="F388" s="10">
        <v>6.6</v>
      </c>
      <c r="G388" s="8" t="s">
        <v>1049</v>
      </c>
      <c r="H388" s="8" t="s">
        <v>477</v>
      </c>
      <c r="I388" s="8" t="s">
        <v>477</v>
      </c>
      <c r="J388" s="8" t="s">
        <v>50</v>
      </c>
      <c r="K388" s="8">
        <v>2071.01</v>
      </c>
      <c r="L388" s="11">
        <v>2071.01</v>
      </c>
      <c r="M388" s="8" t="s">
        <v>43</v>
      </c>
      <c r="N388" s="8" t="s">
        <v>13</v>
      </c>
      <c r="O388" s="8" t="s">
        <v>1050</v>
      </c>
      <c r="P388" t="s">
        <v>28</v>
      </c>
      <c r="Q388" t="s">
        <v>68</v>
      </c>
      <c r="R388" t="s">
        <v>28</v>
      </c>
    </row>
    <row r="389" spans="1:18">
      <c r="A389" s="38">
        <v>45047</v>
      </c>
      <c r="B389" s="8" t="s">
        <v>516</v>
      </c>
      <c r="C389" s="8" t="s">
        <v>517</v>
      </c>
      <c r="D389" s="8" t="s">
        <v>235</v>
      </c>
      <c r="E389" s="8" t="s">
        <v>21</v>
      </c>
      <c r="F389" s="13">
        <v>10.2666666666667</v>
      </c>
      <c r="G389" s="8" t="s">
        <v>1051</v>
      </c>
      <c r="H389" s="8" t="s">
        <v>425</v>
      </c>
      <c r="I389" s="8" t="s">
        <v>406</v>
      </c>
      <c r="J389" s="8" t="s">
        <v>407</v>
      </c>
      <c r="K389" s="8">
        <v>850</v>
      </c>
      <c r="L389" s="11">
        <v>850</v>
      </c>
      <c r="M389" s="8" t="s">
        <v>66</v>
      </c>
      <c r="N389" s="8" t="s">
        <v>13</v>
      </c>
      <c r="O389" s="8" t="s">
        <v>1052</v>
      </c>
      <c r="P389" t="s">
        <v>28</v>
      </c>
      <c r="Q389" t="s">
        <v>111</v>
      </c>
      <c r="R389" t="s">
        <v>28</v>
      </c>
    </row>
    <row r="390" spans="1:18">
      <c r="A390" s="38">
        <v>44788</v>
      </c>
      <c r="B390" s="8" t="s">
        <v>516</v>
      </c>
      <c r="C390" s="8" t="s">
        <v>517</v>
      </c>
      <c r="D390" s="8" t="s">
        <v>235</v>
      </c>
      <c r="E390" s="8" t="s">
        <v>21</v>
      </c>
      <c r="F390" s="10">
        <v>8.25</v>
      </c>
      <c r="G390" s="8" t="s">
        <v>1053</v>
      </c>
      <c r="J390" s="8" t="s">
        <v>100</v>
      </c>
      <c r="K390" s="8">
        <v>1000</v>
      </c>
      <c r="L390" s="11">
        <v>1000</v>
      </c>
      <c r="M390" s="8" t="s">
        <v>43</v>
      </c>
      <c r="N390" s="8" t="s">
        <v>13</v>
      </c>
      <c r="O390" s="8" t="s">
        <v>1054</v>
      </c>
      <c r="P390" t="s">
        <v>523</v>
      </c>
      <c r="Q390" t="s">
        <v>151</v>
      </c>
      <c r="R390" t="s">
        <v>84</v>
      </c>
    </row>
    <row r="391" spans="1:18">
      <c r="A391" s="38">
        <v>45108</v>
      </c>
      <c r="B391" s="8" t="s">
        <v>516</v>
      </c>
      <c r="C391" s="8" t="s">
        <v>517</v>
      </c>
      <c r="D391" s="8" t="s">
        <v>235</v>
      </c>
      <c r="E391" s="8" t="s">
        <v>21</v>
      </c>
      <c r="F391" s="14">
        <v>10.5</v>
      </c>
      <c r="G391" s="8" t="s">
        <v>1055</v>
      </c>
      <c r="H391" s="8" t="s">
        <v>103</v>
      </c>
      <c r="I391" s="8" t="s">
        <v>104</v>
      </c>
      <c r="J391" s="8" t="s">
        <v>105</v>
      </c>
      <c r="K391" s="8">
        <v>2500</v>
      </c>
      <c r="L391" s="11">
        <v>2500</v>
      </c>
      <c r="M391" s="8" t="s">
        <v>75</v>
      </c>
      <c r="N391" s="8" t="s">
        <v>13</v>
      </c>
      <c r="O391" s="8" t="s">
        <v>1056</v>
      </c>
      <c r="P391" t="s">
        <v>28</v>
      </c>
      <c r="Q391" t="s">
        <v>77</v>
      </c>
      <c r="R391" t="s">
        <v>28</v>
      </c>
    </row>
    <row r="392" spans="1:18">
      <c r="A392" s="38">
        <v>45231</v>
      </c>
      <c r="B392" s="8" t="s">
        <v>462</v>
      </c>
      <c r="C392" s="8" t="s">
        <v>463</v>
      </c>
      <c r="D392" s="8" t="s">
        <v>111</v>
      </c>
      <c r="E392" s="8" t="s">
        <v>21</v>
      </c>
      <c r="F392" s="13">
        <v>5.225</v>
      </c>
      <c r="G392" s="8" t="s">
        <v>1057</v>
      </c>
      <c r="H392" s="8" t="s">
        <v>74</v>
      </c>
      <c r="I392" s="8" t="s">
        <v>74</v>
      </c>
      <c r="J392" s="8" t="s">
        <v>50</v>
      </c>
      <c r="K392" s="8">
        <v>2770</v>
      </c>
      <c r="L392" s="11">
        <v>2770</v>
      </c>
      <c r="M392" s="8" t="s">
        <v>43</v>
      </c>
      <c r="N392" s="8" t="s">
        <v>13</v>
      </c>
      <c r="O392" s="8" t="s">
        <v>1050</v>
      </c>
      <c r="P392" t="s">
        <v>28</v>
      </c>
      <c r="Q392" t="s">
        <v>68</v>
      </c>
      <c r="R392" t="s">
        <v>28</v>
      </c>
    </row>
    <row r="393" spans="1:18">
      <c r="A393" s="38">
        <v>45047</v>
      </c>
      <c r="B393" s="8" t="s">
        <v>496</v>
      </c>
      <c r="C393" s="8" t="s">
        <v>148</v>
      </c>
      <c r="D393" s="8" t="s">
        <v>57</v>
      </c>
      <c r="E393" s="8" t="s">
        <v>32</v>
      </c>
      <c r="F393" s="10">
        <v>7.97222222222222</v>
      </c>
      <c r="G393" s="8" t="s">
        <v>1058</v>
      </c>
      <c r="H393" s="8" t="s">
        <v>771</v>
      </c>
      <c r="I393" s="8" t="s">
        <v>711</v>
      </c>
      <c r="J393" s="8" t="s">
        <v>161</v>
      </c>
      <c r="K393" s="8">
        <v>237.3</v>
      </c>
      <c r="L393" s="11">
        <v>237.3</v>
      </c>
      <c r="M393" s="8" t="s">
        <v>245</v>
      </c>
      <c r="N393" s="8" t="s">
        <v>13</v>
      </c>
      <c r="O393" s="8" t="s">
        <v>1059</v>
      </c>
      <c r="P393" t="s">
        <v>28</v>
      </c>
      <c r="Q393" t="s">
        <v>111</v>
      </c>
      <c r="R393" t="s">
        <v>28</v>
      </c>
    </row>
    <row r="394" spans="1:18">
      <c r="A394" s="38">
        <v>45122</v>
      </c>
      <c r="B394" s="8" t="s">
        <v>516</v>
      </c>
      <c r="C394" s="8" t="s">
        <v>517</v>
      </c>
      <c r="D394" s="8" t="s">
        <v>235</v>
      </c>
      <c r="E394" s="8" t="s">
        <v>21</v>
      </c>
      <c r="F394" s="13">
        <v>6.875</v>
      </c>
      <c r="G394" s="8" t="s">
        <v>1060</v>
      </c>
      <c r="H394" s="8" t="s">
        <v>165</v>
      </c>
      <c r="I394" s="8" t="s">
        <v>165</v>
      </c>
      <c r="J394" s="8" t="s">
        <v>50</v>
      </c>
      <c r="K394" s="8">
        <v>1100</v>
      </c>
      <c r="L394" s="11">
        <v>1100</v>
      </c>
      <c r="M394" s="8" t="s">
        <v>66</v>
      </c>
      <c r="N394" s="8" t="s">
        <v>13</v>
      </c>
      <c r="O394" s="8" t="s">
        <v>1061</v>
      </c>
      <c r="P394" t="s">
        <v>28</v>
      </c>
      <c r="Q394" t="s">
        <v>57</v>
      </c>
      <c r="R394" t="s">
        <v>28</v>
      </c>
    </row>
    <row r="395" spans="1:18">
      <c r="A395" s="38">
        <v>45379</v>
      </c>
      <c r="B395" s="8" t="s">
        <v>1062</v>
      </c>
      <c r="C395" s="8" t="s">
        <v>150</v>
      </c>
      <c r="D395" s="8" t="s">
        <v>151</v>
      </c>
      <c r="E395" s="8" t="s">
        <v>21</v>
      </c>
      <c r="F395" s="10">
        <v>6.04444444444444</v>
      </c>
      <c r="G395" s="8" t="s">
        <v>1063</v>
      </c>
      <c r="H395" s="8" t="s">
        <v>710</v>
      </c>
      <c r="I395" s="8" t="s">
        <v>711</v>
      </c>
      <c r="J395" s="8" t="s">
        <v>161</v>
      </c>
      <c r="K395" s="8">
        <v>4700</v>
      </c>
      <c r="L395" s="11">
        <v>4700</v>
      </c>
      <c r="M395" s="8" t="s">
        <v>43</v>
      </c>
      <c r="N395" s="8" t="s">
        <v>13</v>
      </c>
      <c r="O395" s="8" t="s">
        <v>1064</v>
      </c>
      <c r="P395" t="s">
        <v>28</v>
      </c>
      <c r="Q395" t="s">
        <v>151</v>
      </c>
      <c r="R395" t="s">
        <v>28</v>
      </c>
    </row>
    <row r="396" spans="1:18">
      <c r="A396" s="38">
        <v>45292</v>
      </c>
      <c r="B396" s="8" t="s">
        <v>1062</v>
      </c>
      <c r="C396" s="8" t="s">
        <v>150</v>
      </c>
      <c r="D396" s="8" t="s">
        <v>151</v>
      </c>
      <c r="E396" s="8" t="s">
        <v>21</v>
      </c>
      <c r="F396" s="13">
        <v>6.41666666666667</v>
      </c>
      <c r="G396" s="8" t="s">
        <v>1065</v>
      </c>
      <c r="H396" s="8" t="s">
        <v>98</v>
      </c>
      <c r="I396" s="8" t="s">
        <v>99</v>
      </c>
      <c r="J396" s="8" t="s">
        <v>100</v>
      </c>
      <c r="K396" s="8">
        <v>20000</v>
      </c>
      <c r="L396" s="11">
        <v>20000</v>
      </c>
      <c r="M396" s="8" t="s">
        <v>43</v>
      </c>
      <c r="N396" s="8" t="s">
        <v>13</v>
      </c>
      <c r="O396" s="8" t="s">
        <v>1066</v>
      </c>
      <c r="P396" t="s">
        <v>28</v>
      </c>
      <c r="Q396" t="s">
        <v>352</v>
      </c>
      <c r="R396" t="s">
        <v>28</v>
      </c>
    </row>
    <row r="397" spans="1:18">
      <c r="A397" s="38">
        <v>44795</v>
      </c>
      <c r="B397" s="8" t="s">
        <v>639</v>
      </c>
      <c r="C397" s="8" t="s">
        <v>83</v>
      </c>
      <c r="D397" s="8" t="s">
        <v>68</v>
      </c>
      <c r="E397" s="8" t="s">
        <v>21</v>
      </c>
      <c r="F397" s="13">
        <v>8.70833333333333</v>
      </c>
      <c r="G397" s="8" t="s">
        <v>1067</v>
      </c>
      <c r="H397" s="8" t="s">
        <v>171</v>
      </c>
      <c r="I397" s="8" t="s">
        <v>171</v>
      </c>
      <c r="J397" s="8" t="s">
        <v>50</v>
      </c>
      <c r="K397" s="8">
        <v>570</v>
      </c>
      <c r="L397" s="11">
        <v>570</v>
      </c>
      <c r="M397" s="8" t="s">
        <v>66</v>
      </c>
      <c r="N397" s="8" t="s">
        <v>13</v>
      </c>
      <c r="O397" s="8" t="s">
        <v>1068</v>
      </c>
      <c r="P397" t="s">
        <v>28</v>
      </c>
      <c r="Q397" t="s">
        <v>68</v>
      </c>
      <c r="R397" t="s">
        <v>28</v>
      </c>
    </row>
    <row r="398" spans="1:18">
      <c r="A398" s="38">
        <v>45518</v>
      </c>
      <c r="B398" s="8" t="s">
        <v>173</v>
      </c>
      <c r="C398" s="8" t="s">
        <v>122</v>
      </c>
      <c r="D398" s="8" t="s">
        <v>123</v>
      </c>
      <c r="E398" s="8" t="s">
        <v>32</v>
      </c>
      <c r="F398" s="13">
        <v>6.41666666666667</v>
      </c>
      <c r="G398" s="8" t="s">
        <v>1069</v>
      </c>
      <c r="H398" s="8" t="s">
        <v>601</v>
      </c>
      <c r="I398" s="8" t="s">
        <v>601</v>
      </c>
      <c r="J398" s="8" t="s">
        <v>50</v>
      </c>
      <c r="K398" s="8">
        <v>3000</v>
      </c>
      <c r="L398" s="11">
        <v>3000</v>
      </c>
      <c r="M398" s="8" t="s">
        <v>26</v>
      </c>
      <c r="N398" s="8" t="s">
        <v>13</v>
      </c>
      <c r="O398" s="8" t="s">
        <v>1070</v>
      </c>
      <c r="P398" t="s">
        <v>28</v>
      </c>
      <c r="Q398" t="s">
        <v>68</v>
      </c>
      <c r="R398" t="s">
        <v>28</v>
      </c>
    </row>
    <row r="399" spans="1:18">
      <c r="A399" s="38">
        <v>45242</v>
      </c>
      <c r="B399" s="8" t="s">
        <v>1071</v>
      </c>
      <c r="C399" s="8" t="s">
        <v>150</v>
      </c>
      <c r="D399" s="8" t="s">
        <v>151</v>
      </c>
      <c r="E399" s="8" t="s">
        <v>21</v>
      </c>
      <c r="F399" s="13">
        <v>5.04166666666667</v>
      </c>
      <c r="G399" s="8" t="s">
        <v>1072</v>
      </c>
      <c r="H399" s="8" t="s">
        <v>98</v>
      </c>
      <c r="I399" s="8" t="s">
        <v>99</v>
      </c>
      <c r="J399" s="8" t="s">
        <v>100</v>
      </c>
      <c r="K399" s="8">
        <v>12000</v>
      </c>
      <c r="L399" s="11">
        <v>12000</v>
      </c>
      <c r="M399" s="8" t="s">
        <v>51</v>
      </c>
      <c r="N399" s="8" t="s">
        <v>13</v>
      </c>
      <c r="O399" s="8" t="s">
        <v>1073</v>
      </c>
      <c r="P399" t="s">
        <v>28</v>
      </c>
      <c r="Q399" t="s">
        <v>352</v>
      </c>
      <c r="R399" t="s">
        <v>28</v>
      </c>
    </row>
    <row r="400" spans="1:18">
      <c r="A400" s="38">
        <v>44743</v>
      </c>
      <c r="B400" s="8" t="s">
        <v>1074</v>
      </c>
      <c r="C400" s="8" t="s">
        <v>150</v>
      </c>
      <c r="D400" s="8" t="s">
        <v>151</v>
      </c>
      <c r="E400" s="8" t="s">
        <v>21</v>
      </c>
      <c r="F400" s="10">
        <v>4.8</v>
      </c>
      <c r="G400" s="8" t="s">
        <v>1075</v>
      </c>
      <c r="H400" s="8" t="s">
        <v>1076</v>
      </c>
      <c r="I400" s="8" t="s">
        <v>99</v>
      </c>
      <c r="J400" s="8" t="s">
        <v>100</v>
      </c>
      <c r="K400" s="8">
        <v>1891.33</v>
      </c>
      <c r="L400" s="11">
        <v>1891.33</v>
      </c>
      <c r="M400" s="8" t="s">
        <v>245</v>
      </c>
      <c r="N400" s="8" t="s">
        <v>52</v>
      </c>
      <c r="O400" s="8" t="s">
        <v>1077</v>
      </c>
      <c r="P400" t="s">
        <v>150</v>
      </c>
      <c r="Q400" t="s">
        <v>151</v>
      </c>
      <c r="R400" t="s">
        <v>45</v>
      </c>
    </row>
    <row r="401" spans="1:18">
      <c r="A401" s="38">
        <v>45153</v>
      </c>
      <c r="B401" s="8" t="s">
        <v>1078</v>
      </c>
      <c r="C401" s="8" t="s">
        <v>30</v>
      </c>
      <c r="D401" s="8" t="s">
        <v>31</v>
      </c>
      <c r="E401" s="8" t="s">
        <v>32</v>
      </c>
      <c r="F401" s="13">
        <v>12.375</v>
      </c>
      <c r="G401" s="8" t="s">
        <v>1079</v>
      </c>
      <c r="H401" s="8" t="s">
        <v>444</v>
      </c>
      <c r="I401" s="8" t="s">
        <v>200</v>
      </c>
      <c r="J401" s="8" t="s">
        <v>201</v>
      </c>
      <c r="K401" s="8">
        <v>2700</v>
      </c>
      <c r="L401" s="11">
        <v>2700</v>
      </c>
      <c r="M401" s="8" t="s">
        <v>43</v>
      </c>
      <c r="N401" s="8" t="s">
        <v>52</v>
      </c>
      <c r="O401" s="8" t="s">
        <v>445</v>
      </c>
      <c r="P401" t="s">
        <v>30</v>
      </c>
      <c r="Q401" t="s">
        <v>31</v>
      </c>
      <c r="R401" t="s">
        <v>54</v>
      </c>
    </row>
    <row r="402" spans="1:18">
      <c r="A402" s="38">
        <v>45108</v>
      </c>
      <c r="B402" s="8" t="s">
        <v>1078</v>
      </c>
      <c r="C402" s="8" t="s">
        <v>30</v>
      </c>
      <c r="D402" s="8" t="s">
        <v>31</v>
      </c>
      <c r="E402" s="8" t="s">
        <v>32</v>
      </c>
      <c r="F402" s="10">
        <v>12.98</v>
      </c>
      <c r="G402" s="8" t="s">
        <v>1080</v>
      </c>
      <c r="H402" s="8" t="s">
        <v>23</v>
      </c>
      <c r="I402" s="8" t="s">
        <v>24</v>
      </c>
      <c r="J402" s="8" t="s">
        <v>25</v>
      </c>
      <c r="K402" s="8">
        <v>327.13</v>
      </c>
      <c r="L402" s="11">
        <v>327.13</v>
      </c>
      <c r="M402" s="8" t="s">
        <v>51</v>
      </c>
      <c r="N402" s="8" t="s">
        <v>13</v>
      </c>
      <c r="O402" s="8" t="s">
        <v>289</v>
      </c>
      <c r="P402" t="s">
        <v>140</v>
      </c>
      <c r="Q402" t="s">
        <v>20</v>
      </c>
      <c r="R402" t="s">
        <v>54</v>
      </c>
    </row>
    <row r="403" spans="1:18">
      <c r="A403" s="38">
        <v>45413</v>
      </c>
      <c r="B403" s="8" t="s">
        <v>466</v>
      </c>
      <c r="C403" s="8" t="s">
        <v>95</v>
      </c>
      <c r="D403" s="8" t="s">
        <v>20</v>
      </c>
      <c r="E403" s="8" t="s">
        <v>32</v>
      </c>
      <c r="F403" s="10">
        <v>5.16666666666667</v>
      </c>
      <c r="G403" s="8" t="s">
        <v>1081</v>
      </c>
      <c r="H403" s="8" t="s">
        <v>1082</v>
      </c>
      <c r="I403" s="8" t="s">
        <v>1082</v>
      </c>
      <c r="J403" s="8" t="s">
        <v>50</v>
      </c>
      <c r="K403" s="8">
        <v>406.97</v>
      </c>
      <c r="L403" s="11">
        <v>406.97</v>
      </c>
      <c r="M403" s="8" t="s">
        <v>37</v>
      </c>
      <c r="N403" s="8" t="s">
        <v>13</v>
      </c>
      <c r="O403" s="8" t="s">
        <v>1083</v>
      </c>
      <c r="P403" t="s">
        <v>19</v>
      </c>
      <c r="Q403" t="s">
        <v>20</v>
      </c>
      <c r="R403" t="s">
        <v>45</v>
      </c>
    </row>
    <row r="404" spans="1:18">
      <c r="A404" s="38">
        <v>45413</v>
      </c>
      <c r="B404" s="8" t="s">
        <v>869</v>
      </c>
      <c r="C404" s="8" t="s">
        <v>95</v>
      </c>
      <c r="D404" s="8" t="s">
        <v>20</v>
      </c>
      <c r="E404" s="8" t="s">
        <v>32</v>
      </c>
      <c r="F404" s="10">
        <v>5.59166666666667</v>
      </c>
      <c r="G404" s="8" t="s">
        <v>1084</v>
      </c>
      <c r="H404" s="8" t="s">
        <v>98</v>
      </c>
      <c r="I404" s="8" t="s">
        <v>99</v>
      </c>
      <c r="J404" s="8" t="s">
        <v>100</v>
      </c>
      <c r="K404" s="8">
        <v>508.48</v>
      </c>
      <c r="L404" s="11">
        <v>508.48</v>
      </c>
      <c r="M404" s="8" t="s">
        <v>37</v>
      </c>
      <c r="N404" s="8" t="s">
        <v>52</v>
      </c>
      <c r="O404" s="8" t="s">
        <v>1085</v>
      </c>
      <c r="P404" t="s">
        <v>95</v>
      </c>
      <c r="Q404" t="s">
        <v>20</v>
      </c>
      <c r="R404" t="s">
        <v>96</v>
      </c>
    </row>
    <row r="405" spans="1:18">
      <c r="A405" s="38">
        <v>45047</v>
      </c>
      <c r="B405" s="8" t="s">
        <v>869</v>
      </c>
      <c r="C405" s="8" t="s">
        <v>95</v>
      </c>
      <c r="D405" s="8" t="s">
        <v>20</v>
      </c>
      <c r="E405" s="8" t="s">
        <v>32</v>
      </c>
      <c r="F405" s="10">
        <v>6.70833333333333</v>
      </c>
      <c r="G405" s="8" t="s">
        <v>1086</v>
      </c>
      <c r="H405" s="8" t="s">
        <v>447</v>
      </c>
      <c r="I405" s="8" t="s">
        <v>176</v>
      </c>
      <c r="J405" s="8" t="s">
        <v>100</v>
      </c>
      <c r="K405" s="8">
        <v>189.74</v>
      </c>
      <c r="L405" s="11">
        <v>189.74</v>
      </c>
      <c r="M405" s="8" t="s">
        <v>245</v>
      </c>
      <c r="N405" s="8" t="s">
        <v>52</v>
      </c>
      <c r="O405" s="8" t="s">
        <v>223</v>
      </c>
      <c r="P405" t="s">
        <v>140</v>
      </c>
      <c r="Q405" t="s">
        <v>20</v>
      </c>
      <c r="R405" t="s">
        <v>54</v>
      </c>
    </row>
    <row r="406" spans="1:18">
      <c r="A406" s="38">
        <v>45474</v>
      </c>
      <c r="B406" s="8" t="s">
        <v>869</v>
      </c>
      <c r="C406" s="8" t="s">
        <v>95</v>
      </c>
      <c r="D406" s="8" t="s">
        <v>20</v>
      </c>
      <c r="E406" s="8" t="s">
        <v>32</v>
      </c>
      <c r="F406" s="13">
        <v>5.95833333333333</v>
      </c>
      <c r="G406" s="8" t="s">
        <v>1087</v>
      </c>
      <c r="H406" s="8" t="s">
        <v>109</v>
      </c>
      <c r="I406" s="8" t="s">
        <v>87</v>
      </c>
      <c r="J406" s="8" t="s">
        <v>88</v>
      </c>
      <c r="K406" s="8">
        <v>2400</v>
      </c>
      <c r="L406" s="11">
        <v>2400</v>
      </c>
      <c r="M406" s="8" t="s">
        <v>26</v>
      </c>
      <c r="N406" s="8" t="s">
        <v>52</v>
      </c>
      <c r="O406" s="8" t="s">
        <v>1088</v>
      </c>
      <c r="P406" t="s">
        <v>140</v>
      </c>
      <c r="Q406" t="s">
        <v>20</v>
      </c>
      <c r="R406" t="s">
        <v>54</v>
      </c>
    </row>
    <row r="407" spans="1:18">
      <c r="A407" s="38">
        <v>45091</v>
      </c>
      <c r="B407" s="8" t="s">
        <v>1089</v>
      </c>
      <c r="C407" s="8" t="s">
        <v>179</v>
      </c>
      <c r="D407" s="8" t="s">
        <v>68</v>
      </c>
      <c r="E407" s="8" t="s">
        <v>32</v>
      </c>
      <c r="F407" s="13">
        <v>7.33333333333333</v>
      </c>
      <c r="G407" s="8" t="s">
        <v>1090</v>
      </c>
      <c r="H407" s="8" t="s">
        <v>570</v>
      </c>
      <c r="I407" s="8" t="s">
        <v>80</v>
      </c>
      <c r="J407" s="8" t="s">
        <v>81</v>
      </c>
      <c r="K407" s="8">
        <v>1000</v>
      </c>
      <c r="L407" s="11">
        <v>1000</v>
      </c>
      <c r="M407" s="8" t="s">
        <v>240</v>
      </c>
      <c r="N407" s="8" t="s">
        <v>13</v>
      </c>
      <c r="O407" s="8" t="s">
        <v>1091</v>
      </c>
      <c r="P407" t="s">
        <v>179</v>
      </c>
      <c r="Q407" t="s">
        <v>68</v>
      </c>
      <c r="R407" t="s">
        <v>96</v>
      </c>
    </row>
    <row r="408" spans="1:18">
      <c r="A408" s="38">
        <v>45383</v>
      </c>
      <c r="B408" s="8" t="s">
        <v>1089</v>
      </c>
      <c r="C408" s="8" t="s">
        <v>179</v>
      </c>
      <c r="D408" s="8" t="s">
        <v>68</v>
      </c>
      <c r="E408" s="8" t="s">
        <v>32</v>
      </c>
      <c r="F408" s="18" t="s">
        <v>518</v>
      </c>
      <c r="G408" s="8" t="s">
        <v>1092</v>
      </c>
      <c r="H408" s="8" t="s">
        <v>255</v>
      </c>
      <c r="I408" s="8" t="s">
        <v>244</v>
      </c>
      <c r="J408" s="8" t="s">
        <v>88</v>
      </c>
      <c r="K408" s="8">
        <v>2100</v>
      </c>
      <c r="L408" s="11">
        <v>2100</v>
      </c>
      <c r="M408" s="8" t="s">
        <v>51</v>
      </c>
      <c r="N408" s="8" t="s">
        <v>13</v>
      </c>
      <c r="O408" s="8" t="s">
        <v>1093</v>
      </c>
      <c r="P408" t="s">
        <v>28</v>
      </c>
      <c r="Q408" t="s">
        <v>151</v>
      </c>
      <c r="R408" t="s">
        <v>28</v>
      </c>
    </row>
    <row r="409" spans="1:18">
      <c r="A409" s="38">
        <v>45505</v>
      </c>
      <c r="B409" s="8" t="s">
        <v>1094</v>
      </c>
      <c r="C409" s="8" t="s">
        <v>95</v>
      </c>
      <c r="D409" s="8" t="s">
        <v>20</v>
      </c>
      <c r="E409" s="8" t="s">
        <v>32</v>
      </c>
      <c r="F409" s="13">
        <v>6.875</v>
      </c>
      <c r="G409" s="8" t="s">
        <v>1095</v>
      </c>
      <c r="H409" s="8" t="s">
        <v>199</v>
      </c>
      <c r="I409" s="8" t="s">
        <v>200</v>
      </c>
      <c r="J409" s="8" t="s">
        <v>201</v>
      </c>
      <c r="K409" s="8">
        <v>1100</v>
      </c>
      <c r="L409" s="11">
        <v>1100</v>
      </c>
      <c r="M409" s="8" t="s">
        <v>26</v>
      </c>
      <c r="N409" s="8" t="s">
        <v>13</v>
      </c>
      <c r="O409" s="8" t="s">
        <v>1096</v>
      </c>
      <c r="P409" t="s">
        <v>95</v>
      </c>
      <c r="Q409" t="s">
        <v>20</v>
      </c>
      <c r="R409" t="s">
        <v>96</v>
      </c>
    </row>
    <row r="410" spans="1:18">
      <c r="A410" s="38">
        <v>45352</v>
      </c>
      <c r="B410" s="8" t="s">
        <v>1097</v>
      </c>
      <c r="C410" s="8" t="s">
        <v>140</v>
      </c>
      <c r="D410" s="8" t="s">
        <v>20</v>
      </c>
      <c r="E410" s="8" t="s">
        <v>32</v>
      </c>
      <c r="F410" s="13">
        <v>11.9166666666667</v>
      </c>
      <c r="G410" s="8" t="s">
        <v>1098</v>
      </c>
      <c r="H410" s="8" t="s">
        <v>360</v>
      </c>
      <c r="I410" s="8" t="s">
        <v>99</v>
      </c>
      <c r="J410" s="8" t="s">
        <v>100</v>
      </c>
      <c r="K410" s="8">
        <v>4800</v>
      </c>
      <c r="L410" s="11">
        <v>4800</v>
      </c>
      <c r="M410" s="8" t="s">
        <v>51</v>
      </c>
      <c r="N410" s="8" t="s">
        <v>13</v>
      </c>
      <c r="O410" s="8" t="s">
        <v>1099</v>
      </c>
      <c r="P410" t="s">
        <v>28</v>
      </c>
      <c r="Q410" t="s">
        <v>20</v>
      </c>
      <c r="R410" t="s">
        <v>28</v>
      </c>
    </row>
    <row r="411" spans="1:18">
      <c r="A411" s="38">
        <v>44743</v>
      </c>
      <c r="B411" s="8" t="s">
        <v>139</v>
      </c>
      <c r="C411" s="8" t="s">
        <v>140</v>
      </c>
      <c r="D411" s="8" t="s">
        <v>20</v>
      </c>
      <c r="E411" s="8" t="s">
        <v>32</v>
      </c>
      <c r="F411" s="10">
        <v>10.7525</v>
      </c>
      <c r="G411" s="8" t="s">
        <v>1100</v>
      </c>
      <c r="H411" s="8" t="s">
        <v>165</v>
      </c>
      <c r="I411" s="8" t="s">
        <v>165</v>
      </c>
      <c r="J411" s="8" t="s">
        <v>50</v>
      </c>
      <c r="K411" s="8">
        <v>2690.79</v>
      </c>
      <c r="L411" s="11">
        <v>2690.79</v>
      </c>
      <c r="M411" s="8" t="s">
        <v>245</v>
      </c>
      <c r="N411" s="8" t="s">
        <v>13</v>
      </c>
      <c r="O411" s="8" t="s">
        <v>147</v>
      </c>
      <c r="P411" t="s">
        <v>148</v>
      </c>
      <c r="Q411" t="s">
        <v>57</v>
      </c>
      <c r="R411" t="s">
        <v>96</v>
      </c>
    </row>
    <row r="412" spans="1:18">
      <c r="A412" s="38">
        <v>45444</v>
      </c>
      <c r="B412" s="8" t="s">
        <v>281</v>
      </c>
      <c r="C412" s="8" t="s">
        <v>72</v>
      </c>
      <c r="D412" s="8" t="s">
        <v>39</v>
      </c>
      <c r="E412" s="8" t="s">
        <v>21</v>
      </c>
      <c r="F412" s="13">
        <v>5.95833333333333</v>
      </c>
      <c r="G412" s="8" t="s">
        <v>1101</v>
      </c>
      <c r="H412" s="8" t="s">
        <v>74</v>
      </c>
      <c r="I412" s="8" t="s">
        <v>74</v>
      </c>
      <c r="J412" s="8" t="s">
        <v>50</v>
      </c>
      <c r="K412" s="8">
        <v>15000</v>
      </c>
      <c r="L412" s="11">
        <v>15000</v>
      </c>
      <c r="M412" s="8" t="s">
        <v>51</v>
      </c>
      <c r="N412" s="8" t="s">
        <v>13</v>
      </c>
      <c r="O412" s="8" t="s">
        <v>1102</v>
      </c>
      <c r="P412" t="s">
        <v>28</v>
      </c>
      <c r="Q412" t="s">
        <v>39</v>
      </c>
      <c r="R412" t="s">
        <v>28</v>
      </c>
    </row>
    <row r="413" spans="1:18">
      <c r="A413" s="38">
        <v>45161</v>
      </c>
      <c r="B413" s="8" t="s">
        <v>281</v>
      </c>
      <c r="C413" s="8" t="s">
        <v>72</v>
      </c>
      <c r="D413" s="8" t="s">
        <v>39</v>
      </c>
      <c r="E413" s="8" t="s">
        <v>21</v>
      </c>
      <c r="F413" s="13">
        <v>5.68333333333333</v>
      </c>
      <c r="G413" s="8" t="s">
        <v>1103</v>
      </c>
      <c r="H413" s="8" t="s">
        <v>477</v>
      </c>
      <c r="I413" s="8" t="s">
        <v>477</v>
      </c>
      <c r="J413" s="8" t="s">
        <v>50</v>
      </c>
      <c r="K413" s="8">
        <v>3000</v>
      </c>
      <c r="L413" s="11">
        <v>3000</v>
      </c>
      <c r="M413" s="8" t="s">
        <v>66</v>
      </c>
      <c r="N413" s="8" t="s">
        <v>13</v>
      </c>
      <c r="O413" s="8" t="s">
        <v>1104</v>
      </c>
      <c r="P413" t="s">
        <v>83</v>
      </c>
      <c r="Q413" t="s">
        <v>68</v>
      </c>
      <c r="R413" t="s">
        <v>84</v>
      </c>
    </row>
    <row r="414" spans="1:18">
      <c r="A414" s="38">
        <v>45161</v>
      </c>
      <c r="B414" s="8" t="s">
        <v>281</v>
      </c>
      <c r="C414" s="8" t="s">
        <v>72</v>
      </c>
      <c r="D414" s="8" t="s">
        <v>39</v>
      </c>
      <c r="E414" s="8" t="s">
        <v>21</v>
      </c>
      <c r="F414" s="13">
        <v>5.31666666666667</v>
      </c>
      <c r="G414" s="8" t="s">
        <v>1105</v>
      </c>
      <c r="H414" s="8" t="s">
        <v>477</v>
      </c>
      <c r="I414" s="8" t="s">
        <v>477</v>
      </c>
      <c r="J414" s="8" t="s">
        <v>50</v>
      </c>
      <c r="K414" s="8">
        <v>1500</v>
      </c>
      <c r="L414" s="11">
        <v>1500</v>
      </c>
      <c r="M414" s="8" t="s">
        <v>66</v>
      </c>
      <c r="N414" s="8" t="s">
        <v>13</v>
      </c>
      <c r="O414" s="8" t="s">
        <v>1104</v>
      </c>
      <c r="P414" t="s">
        <v>83</v>
      </c>
      <c r="Q414" t="s">
        <v>68</v>
      </c>
      <c r="R414" t="s">
        <v>84</v>
      </c>
    </row>
    <row r="415" spans="1:18">
      <c r="A415" s="38">
        <v>45429</v>
      </c>
      <c r="B415" s="8" t="s">
        <v>1106</v>
      </c>
      <c r="C415" s="8" t="s">
        <v>56</v>
      </c>
      <c r="D415" s="8" t="s">
        <v>188</v>
      </c>
      <c r="E415" s="8" t="s">
        <v>21</v>
      </c>
      <c r="F415" s="13">
        <v>4.85833333333333</v>
      </c>
      <c r="G415" s="8" t="s">
        <v>1107</v>
      </c>
      <c r="H415" s="8" t="s">
        <v>1108</v>
      </c>
      <c r="I415" s="8" t="s">
        <v>126</v>
      </c>
      <c r="J415" s="8" t="s">
        <v>127</v>
      </c>
      <c r="K415" s="8">
        <v>5800</v>
      </c>
      <c r="L415" s="11">
        <v>5800</v>
      </c>
      <c r="M415" s="8" t="s">
        <v>43</v>
      </c>
      <c r="N415" s="8" t="s">
        <v>13</v>
      </c>
      <c r="O415" s="8" t="s">
        <v>1109</v>
      </c>
      <c r="P415" t="s">
        <v>651</v>
      </c>
      <c r="Q415" t="s">
        <v>188</v>
      </c>
      <c r="R415" t="s">
        <v>84</v>
      </c>
    </row>
    <row r="416" spans="1:18">
      <c r="A416" s="38">
        <v>45155</v>
      </c>
      <c r="B416" s="8" t="s">
        <v>163</v>
      </c>
      <c r="C416" s="8" t="s">
        <v>140</v>
      </c>
      <c r="D416" s="8" t="s">
        <v>20</v>
      </c>
      <c r="E416" s="8" t="s">
        <v>32</v>
      </c>
      <c r="F416" s="13">
        <v>8.70833333333333</v>
      </c>
      <c r="G416" s="8" t="s">
        <v>1110</v>
      </c>
      <c r="H416" s="8" t="s">
        <v>165</v>
      </c>
      <c r="I416" s="8" t="s">
        <v>165</v>
      </c>
      <c r="J416" s="8" t="s">
        <v>50</v>
      </c>
      <c r="K416" s="8">
        <v>600</v>
      </c>
      <c r="L416" s="11">
        <v>600</v>
      </c>
      <c r="M416" s="8" t="s">
        <v>75</v>
      </c>
      <c r="N416" s="8" t="s">
        <v>13</v>
      </c>
      <c r="O416" s="8" t="s">
        <v>1111</v>
      </c>
      <c r="P416" t="s">
        <v>28</v>
      </c>
      <c r="Q416" t="s">
        <v>39</v>
      </c>
      <c r="R416" t="s">
        <v>28</v>
      </c>
    </row>
    <row r="417" spans="1:18">
      <c r="A417" s="38">
        <v>44562</v>
      </c>
      <c r="B417" s="8" t="s">
        <v>599</v>
      </c>
      <c r="C417" s="8" t="s">
        <v>30</v>
      </c>
      <c r="D417" s="8" t="s">
        <v>31</v>
      </c>
      <c r="E417" s="8" t="s">
        <v>32</v>
      </c>
      <c r="F417" s="10">
        <v>12.5</v>
      </c>
      <c r="G417" s="8" t="s">
        <v>1112</v>
      </c>
      <c r="H417" s="8" t="s">
        <v>570</v>
      </c>
      <c r="I417" s="8" t="s">
        <v>80</v>
      </c>
      <c r="J417" s="8" t="s">
        <v>81</v>
      </c>
      <c r="K417" s="8">
        <v>2100</v>
      </c>
      <c r="L417" s="11">
        <v>2100</v>
      </c>
      <c r="M417" s="8" t="s">
        <v>51</v>
      </c>
      <c r="N417" s="8" t="s">
        <v>52</v>
      </c>
      <c r="O417" s="8" t="s">
        <v>448</v>
      </c>
      <c r="P417" t="s">
        <v>30</v>
      </c>
      <c r="Q417" t="s">
        <v>31</v>
      </c>
      <c r="R417" t="s">
        <v>54</v>
      </c>
    </row>
    <row r="418" spans="1:18">
      <c r="A418" s="38">
        <v>45369</v>
      </c>
      <c r="B418" s="8" t="s">
        <v>163</v>
      </c>
      <c r="C418" s="8" t="s">
        <v>140</v>
      </c>
      <c r="D418" s="8" t="s">
        <v>20</v>
      </c>
      <c r="E418" s="8" t="s">
        <v>32</v>
      </c>
      <c r="F418" s="13">
        <v>9.625</v>
      </c>
      <c r="G418" s="8" t="s">
        <v>1113</v>
      </c>
      <c r="H418" s="8" t="s">
        <v>165</v>
      </c>
      <c r="I418" s="8" t="s">
        <v>165</v>
      </c>
      <c r="J418" s="8" t="s">
        <v>50</v>
      </c>
      <c r="K418" s="8">
        <v>500</v>
      </c>
      <c r="L418" s="11">
        <v>500</v>
      </c>
      <c r="M418" s="8" t="s">
        <v>177</v>
      </c>
      <c r="N418" s="8" t="s">
        <v>13</v>
      </c>
      <c r="O418" s="8" t="s">
        <v>1111</v>
      </c>
      <c r="P418" t="s">
        <v>28</v>
      </c>
      <c r="Q418" t="s">
        <v>39</v>
      </c>
      <c r="R418" t="s">
        <v>28</v>
      </c>
    </row>
    <row r="419" spans="1:18">
      <c r="A419" s="38">
        <v>45072</v>
      </c>
      <c r="B419" s="8" t="s">
        <v>434</v>
      </c>
      <c r="C419" s="8" t="s">
        <v>122</v>
      </c>
      <c r="D419" s="8" t="s">
        <v>123</v>
      </c>
      <c r="E419" s="8" t="s">
        <v>32</v>
      </c>
      <c r="F419" s="13">
        <v>11.4583333333333</v>
      </c>
      <c r="G419" s="8" t="s">
        <v>1114</v>
      </c>
      <c r="H419" s="8" t="s">
        <v>116</v>
      </c>
      <c r="I419" s="8" t="s">
        <v>116</v>
      </c>
      <c r="J419" s="8" t="s">
        <v>50</v>
      </c>
      <c r="K419" s="8">
        <v>300</v>
      </c>
      <c r="L419" s="11">
        <v>300</v>
      </c>
      <c r="M419" s="8" t="s">
        <v>51</v>
      </c>
      <c r="N419" s="8" t="s">
        <v>13</v>
      </c>
      <c r="O419" s="8" t="s">
        <v>1115</v>
      </c>
      <c r="P419" t="s">
        <v>150</v>
      </c>
      <c r="Q419" t="s">
        <v>151</v>
      </c>
      <c r="R419" t="s">
        <v>45</v>
      </c>
    </row>
    <row r="420" spans="1:18">
      <c r="A420" s="38">
        <v>44742</v>
      </c>
      <c r="B420" s="8" t="s">
        <v>387</v>
      </c>
      <c r="C420" s="8" t="s">
        <v>234</v>
      </c>
      <c r="D420" s="8" t="s">
        <v>235</v>
      </c>
      <c r="E420" s="8" t="s">
        <v>21</v>
      </c>
      <c r="F420" s="13">
        <v>6.41666666666667</v>
      </c>
      <c r="G420" s="8" t="s">
        <v>1116</v>
      </c>
      <c r="H420" s="8" t="s">
        <v>601</v>
      </c>
      <c r="I420" s="8" t="s">
        <v>601</v>
      </c>
      <c r="J420" s="8" t="s">
        <v>50</v>
      </c>
      <c r="K420" s="8">
        <v>2300</v>
      </c>
      <c r="L420" s="11">
        <v>2300</v>
      </c>
      <c r="M420" s="8" t="s">
        <v>43</v>
      </c>
      <c r="N420" s="8" t="s">
        <v>52</v>
      </c>
      <c r="O420" s="8" t="s">
        <v>571</v>
      </c>
      <c r="P420" t="s">
        <v>420</v>
      </c>
      <c r="Q420" t="s">
        <v>39</v>
      </c>
      <c r="R420" t="s">
        <v>96</v>
      </c>
    </row>
    <row r="421" spans="1:18">
      <c r="A421" s="38">
        <v>45200</v>
      </c>
      <c r="B421" s="8" t="s">
        <v>1117</v>
      </c>
      <c r="C421" s="8" t="s">
        <v>56</v>
      </c>
      <c r="D421" s="8" t="s">
        <v>57</v>
      </c>
      <c r="E421" s="8" t="s">
        <v>21</v>
      </c>
      <c r="F421" s="10">
        <v>4.58333333333333</v>
      </c>
      <c r="G421" s="8" t="s">
        <v>1118</v>
      </c>
      <c r="H421" s="8" t="s">
        <v>59</v>
      </c>
      <c r="I421" s="8" t="s">
        <v>59</v>
      </c>
      <c r="J421" s="8" t="s">
        <v>25</v>
      </c>
      <c r="K421" s="8">
        <v>1421.48</v>
      </c>
      <c r="L421" s="11">
        <v>1421.48</v>
      </c>
      <c r="M421" s="8" t="s">
        <v>26</v>
      </c>
      <c r="N421" s="8" t="s">
        <v>52</v>
      </c>
      <c r="O421" s="8" t="s">
        <v>1119</v>
      </c>
      <c r="P421" t="s">
        <v>148</v>
      </c>
      <c r="Q421" t="s">
        <v>57</v>
      </c>
      <c r="R421" t="s">
        <v>96</v>
      </c>
    </row>
    <row r="422" spans="1:18">
      <c r="A422" s="38">
        <v>44805</v>
      </c>
      <c r="B422" s="8" t="s">
        <v>1120</v>
      </c>
      <c r="C422" s="8" t="s">
        <v>56</v>
      </c>
      <c r="D422" s="8" t="s">
        <v>57</v>
      </c>
      <c r="E422" s="8" t="s">
        <v>32</v>
      </c>
      <c r="F422" s="10">
        <v>7.05833333333333</v>
      </c>
      <c r="G422" s="8" t="s">
        <v>1121</v>
      </c>
      <c r="H422" s="8" t="s">
        <v>570</v>
      </c>
      <c r="I422" s="8" t="s">
        <v>80</v>
      </c>
      <c r="J422" s="8" t="s">
        <v>81</v>
      </c>
      <c r="K422" s="8">
        <v>427</v>
      </c>
      <c r="L422" s="11">
        <v>427</v>
      </c>
      <c r="M422" s="8" t="s">
        <v>51</v>
      </c>
      <c r="N422" s="8" t="s">
        <v>52</v>
      </c>
      <c r="O422" s="8" t="s">
        <v>668</v>
      </c>
      <c r="P422" t="s">
        <v>30</v>
      </c>
      <c r="Q422" t="s">
        <v>31</v>
      </c>
      <c r="R422" t="s">
        <v>54</v>
      </c>
    </row>
    <row r="423" spans="1:18">
      <c r="A423" s="38">
        <v>44578</v>
      </c>
      <c r="B423" s="8" t="s">
        <v>1120</v>
      </c>
      <c r="C423" s="8" t="s">
        <v>56</v>
      </c>
      <c r="D423" s="8" t="s">
        <v>57</v>
      </c>
      <c r="E423" s="8" t="s">
        <v>32</v>
      </c>
      <c r="F423" s="13">
        <v>6.50833333333333</v>
      </c>
      <c r="G423" s="8" t="s">
        <v>1122</v>
      </c>
      <c r="H423" s="8" t="s">
        <v>641</v>
      </c>
      <c r="I423" s="8" t="s">
        <v>406</v>
      </c>
      <c r="J423" s="8" t="s">
        <v>407</v>
      </c>
      <c r="K423" s="8">
        <v>5092.13</v>
      </c>
      <c r="L423" s="11">
        <v>5092.13</v>
      </c>
      <c r="M423" s="8" t="s">
        <v>43</v>
      </c>
      <c r="N423" s="8" t="s">
        <v>13</v>
      </c>
      <c r="O423" s="8" t="s">
        <v>256</v>
      </c>
      <c r="P423" t="s">
        <v>28</v>
      </c>
      <c r="Q423" t="s">
        <v>57</v>
      </c>
      <c r="R423" t="s">
        <v>28</v>
      </c>
    </row>
    <row r="424" spans="1:18">
      <c r="A424" s="38">
        <v>45444</v>
      </c>
      <c r="B424" s="8" t="s">
        <v>1123</v>
      </c>
      <c r="C424" s="8" t="s">
        <v>192</v>
      </c>
      <c r="D424" s="8" t="s">
        <v>57</v>
      </c>
      <c r="E424" s="8" t="s">
        <v>32</v>
      </c>
      <c r="F424" s="13">
        <v>7.33333333333333</v>
      </c>
      <c r="G424" s="8" t="s">
        <v>1124</v>
      </c>
      <c r="H424" s="8" t="s">
        <v>577</v>
      </c>
      <c r="I424" s="8" t="s">
        <v>99</v>
      </c>
      <c r="J424" s="8" t="s">
        <v>100</v>
      </c>
      <c r="K424" s="8">
        <v>750</v>
      </c>
      <c r="L424" s="11">
        <v>750</v>
      </c>
      <c r="M424" s="8" t="s">
        <v>51</v>
      </c>
      <c r="N424" s="8" t="s">
        <v>13</v>
      </c>
      <c r="O424" s="8" t="s">
        <v>1125</v>
      </c>
      <c r="P424" t="s">
        <v>192</v>
      </c>
      <c r="Q424" t="s">
        <v>57</v>
      </c>
      <c r="R424" t="s">
        <v>96</v>
      </c>
    </row>
    <row r="425" spans="1:18">
      <c r="A425" s="38">
        <v>45383</v>
      </c>
      <c r="B425" s="8" t="s">
        <v>1123</v>
      </c>
      <c r="C425" s="8" t="s">
        <v>192</v>
      </c>
      <c r="D425" s="8" t="s">
        <v>57</v>
      </c>
      <c r="E425" s="8" t="s">
        <v>32</v>
      </c>
      <c r="F425" s="10">
        <v>7.6</v>
      </c>
      <c r="G425" s="8" t="s">
        <v>1126</v>
      </c>
      <c r="H425" s="8" t="s">
        <v>703</v>
      </c>
      <c r="I425" s="8" t="s">
        <v>176</v>
      </c>
      <c r="J425" s="8" t="s">
        <v>100</v>
      </c>
      <c r="K425" s="8">
        <v>976.20985952</v>
      </c>
      <c r="L425" s="11">
        <v>976.20985952</v>
      </c>
      <c r="M425" s="8" t="s">
        <v>37</v>
      </c>
      <c r="N425" s="8" t="s">
        <v>13</v>
      </c>
      <c r="O425" s="8" t="s">
        <v>450</v>
      </c>
      <c r="P425" t="s">
        <v>30</v>
      </c>
      <c r="Q425" t="s">
        <v>31</v>
      </c>
      <c r="R425" t="s">
        <v>54</v>
      </c>
    </row>
    <row r="426" spans="1:18">
      <c r="A426" s="38">
        <v>45261</v>
      </c>
      <c r="B426" s="8" t="s">
        <v>1127</v>
      </c>
      <c r="C426" s="8" t="s">
        <v>192</v>
      </c>
      <c r="D426" s="8" t="s">
        <v>57</v>
      </c>
      <c r="E426" s="8" t="s">
        <v>32</v>
      </c>
      <c r="F426" s="10">
        <v>7.7</v>
      </c>
      <c r="G426" s="8" t="s">
        <v>1128</v>
      </c>
      <c r="H426" s="8" t="s">
        <v>425</v>
      </c>
      <c r="I426" s="8" t="s">
        <v>406</v>
      </c>
      <c r="J426" s="8" t="s">
        <v>407</v>
      </c>
      <c r="K426" s="8">
        <v>869.21</v>
      </c>
      <c r="L426" s="11">
        <v>869.21</v>
      </c>
      <c r="M426" s="8" t="s">
        <v>66</v>
      </c>
      <c r="N426" s="8" t="s">
        <v>13</v>
      </c>
      <c r="O426" s="8" t="s">
        <v>791</v>
      </c>
      <c r="P426" t="s">
        <v>192</v>
      </c>
      <c r="Q426" t="s">
        <v>57</v>
      </c>
      <c r="R426" t="s">
        <v>96</v>
      </c>
    </row>
    <row r="427" spans="1:18">
      <c r="A427" s="38">
        <v>45231</v>
      </c>
      <c r="B427" s="8" t="s">
        <v>1127</v>
      </c>
      <c r="C427" s="8" t="s">
        <v>192</v>
      </c>
      <c r="D427" s="8" t="s">
        <v>57</v>
      </c>
      <c r="E427" s="8" t="s">
        <v>32</v>
      </c>
      <c r="F427" s="13">
        <v>7.79166666666667</v>
      </c>
      <c r="G427" s="8" t="s">
        <v>1129</v>
      </c>
      <c r="H427" s="8" t="s">
        <v>430</v>
      </c>
      <c r="I427" s="8" t="s">
        <v>430</v>
      </c>
      <c r="J427" s="8" t="s">
        <v>88</v>
      </c>
      <c r="K427" s="8">
        <v>320</v>
      </c>
      <c r="L427" s="11">
        <v>320</v>
      </c>
      <c r="M427" s="8" t="s">
        <v>66</v>
      </c>
      <c r="N427" s="8" t="s">
        <v>13</v>
      </c>
      <c r="O427" s="8" t="s">
        <v>1130</v>
      </c>
      <c r="P427" t="s">
        <v>192</v>
      </c>
      <c r="Q427" t="s">
        <v>57</v>
      </c>
      <c r="R427" t="s">
        <v>96</v>
      </c>
    </row>
    <row r="428" spans="1:18">
      <c r="A428" s="38">
        <v>44866</v>
      </c>
      <c r="B428" s="8" t="s">
        <v>1131</v>
      </c>
      <c r="C428" s="8" t="s">
        <v>192</v>
      </c>
      <c r="D428" s="8" t="s">
        <v>57</v>
      </c>
      <c r="E428" s="8" t="s">
        <v>32</v>
      </c>
      <c r="F428" s="10">
        <v>8.37083333333333</v>
      </c>
      <c r="G428" s="8" t="s">
        <v>1132</v>
      </c>
      <c r="H428" s="8" t="s">
        <v>447</v>
      </c>
      <c r="I428" s="8" t="s">
        <v>176</v>
      </c>
      <c r="J428" s="8" t="s">
        <v>100</v>
      </c>
      <c r="K428" s="8">
        <v>288.98</v>
      </c>
      <c r="L428" s="11">
        <v>288.98</v>
      </c>
      <c r="M428" s="8" t="s">
        <v>245</v>
      </c>
      <c r="N428" s="8" t="s">
        <v>52</v>
      </c>
      <c r="O428" s="8" t="s">
        <v>1133</v>
      </c>
      <c r="P428" t="s">
        <v>276</v>
      </c>
      <c r="Q428" t="s">
        <v>39</v>
      </c>
      <c r="R428" t="s">
        <v>54</v>
      </c>
    </row>
    <row r="429" spans="1:18">
      <c r="A429" s="38">
        <v>44855</v>
      </c>
      <c r="B429" s="8" t="s">
        <v>1134</v>
      </c>
      <c r="C429" s="8" t="s">
        <v>192</v>
      </c>
      <c r="D429" s="8" t="s">
        <v>57</v>
      </c>
      <c r="E429" s="8" t="s">
        <v>32</v>
      </c>
      <c r="F429" s="13">
        <v>7.79166666666667</v>
      </c>
      <c r="G429" s="8" t="s">
        <v>1135</v>
      </c>
      <c r="H429" s="8" t="s">
        <v>343</v>
      </c>
      <c r="I429" s="8" t="s">
        <v>99</v>
      </c>
      <c r="J429" s="8" t="s">
        <v>100</v>
      </c>
      <c r="K429" s="8">
        <v>780</v>
      </c>
      <c r="L429" s="11">
        <v>780</v>
      </c>
      <c r="M429" s="8" t="s">
        <v>66</v>
      </c>
      <c r="N429" s="8" t="s">
        <v>13</v>
      </c>
      <c r="O429" s="8" t="s">
        <v>1125</v>
      </c>
      <c r="P429" t="s">
        <v>192</v>
      </c>
      <c r="Q429" t="s">
        <v>57</v>
      </c>
      <c r="R429" t="s">
        <v>96</v>
      </c>
    </row>
    <row r="430" spans="1:18">
      <c r="A430" s="38">
        <v>44728</v>
      </c>
      <c r="B430" s="8" t="s">
        <v>1136</v>
      </c>
      <c r="C430" s="8" t="s">
        <v>148</v>
      </c>
      <c r="D430" s="8" t="s">
        <v>57</v>
      </c>
      <c r="E430" s="8" t="s">
        <v>32</v>
      </c>
      <c r="F430" s="13">
        <v>5.95833333333333</v>
      </c>
      <c r="G430" s="8" t="s">
        <v>1137</v>
      </c>
      <c r="H430" s="8">
        <v>0</v>
      </c>
      <c r="J430" s="8" t="s">
        <v>100</v>
      </c>
      <c r="K430" s="8">
        <v>1450</v>
      </c>
      <c r="L430" s="11">
        <v>1450</v>
      </c>
      <c r="M430" s="8" t="s">
        <v>26</v>
      </c>
      <c r="N430" s="8" t="s">
        <v>13</v>
      </c>
      <c r="O430" s="8" t="s">
        <v>363</v>
      </c>
      <c r="P430" t="s">
        <v>28</v>
      </c>
      <c r="Q430" t="s">
        <v>111</v>
      </c>
    </row>
    <row r="431" spans="1:18">
      <c r="A431" s="38">
        <v>45128</v>
      </c>
      <c r="B431" s="8" t="s">
        <v>483</v>
      </c>
      <c r="C431" s="8" t="s">
        <v>72</v>
      </c>
      <c r="D431" s="8" t="s">
        <v>39</v>
      </c>
      <c r="E431" s="8" t="s">
        <v>21</v>
      </c>
      <c r="F431" s="13">
        <v>4.58333333333333</v>
      </c>
      <c r="G431" s="8" t="s">
        <v>1138</v>
      </c>
      <c r="H431" s="8" t="s">
        <v>239</v>
      </c>
      <c r="I431" s="8" t="s">
        <v>200</v>
      </c>
      <c r="J431" s="8" t="s">
        <v>201</v>
      </c>
      <c r="K431" s="8">
        <v>500</v>
      </c>
      <c r="L431" s="11">
        <v>500</v>
      </c>
      <c r="M431" s="8" t="s">
        <v>240</v>
      </c>
      <c r="N431" s="8" t="s">
        <v>52</v>
      </c>
      <c r="O431" s="8" t="s">
        <v>571</v>
      </c>
      <c r="P431" t="s">
        <v>420</v>
      </c>
      <c r="Q431" t="s">
        <v>39</v>
      </c>
      <c r="R431" t="s">
        <v>96</v>
      </c>
    </row>
    <row r="432" spans="1:18">
      <c r="A432" s="38">
        <v>45128</v>
      </c>
      <c r="B432" s="8" t="s">
        <v>924</v>
      </c>
      <c r="C432" s="8" t="s">
        <v>420</v>
      </c>
      <c r="D432" s="8" t="s">
        <v>39</v>
      </c>
      <c r="E432" s="8" t="s">
        <v>32</v>
      </c>
      <c r="F432" s="10">
        <v>7.6</v>
      </c>
      <c r="G432" s="8" t="s">
        <v>1139</v>
      </c>
      <c r="H432" s="8" t="s">
        <v>477</v>
      </c>
      <c r="I432" s="8" t="s">
        <v>477</v>
      </c>
      <c r="J432" s="8" t="s">
        <v>50</v>
      </c>
      <c r="K432" s="8">
        <v>4000</v>
      </c>
      <c r="L432" s="11">
        <v>4000</v>
      </c>
      <c r="M432" s="8" t="s">
        <v>43</v>
      </c>
      <c r="N432" s="8" t="s">
        <v>13</v>
      </c>
      <c r="O432" s="8" t="s">
        <v>1140</v>
      </c>
      <c r="P432" t="s">
        <v>420</v>
      </c>
      <c r="Q432" t="s">
        <v>39</v>
      </c>
      <c r="R432" t="s">
        <v>96</v>
      </c>
    </row>
    <row r="433" spans="1:18">
      <c r="A433" s="38">
        <v>44743</v>
      </c>
      <c r="B433" s="8" t="s">
        <v>1141</v>
      </c>
      <c r="C433" s="8" t="s">
        <v>150</v>
      </c>
      <c r="D433" s="8" t="s">
        <v>151</v>
      </c>
      <c r="E433" s="8" t="s">
        <v>21</v>
      </c>
      <c r="F433" s="10">
        <v>4.5</v>
      </c>
      <c r="G433" s="8" t="s">
        <v>1142</v>
      </c>
      <c r="H433" s="8" t="s">
        <v>98</v>
      </c>
      <c r="I433" s="8" t="s">
        <v>99</v>
      </c>
      <c r="J433" s="8" t="s">
        <v>100</v>
      </c>
      <c r="K433" s="8">
        <v>1068.15</v>
      </c>
      <c r="L433" s="11">
        <v>1068.15</v>
      </c>
      <c r="M433" s="8" t="s">
        <v>26</v>
      </c>
      <c r="N433" s="8" t="s">
        <v>52</v>
      </c>
      <c r="O433" s="8" t="s">
        <v>1143</v>
      </c>
      <c r="P433" t="s">
        <v>150</v>
      </c>
      <c r="Q433" t="s">
        <v>151</v>
      </c>
      <c r="R433" t="s">
        <v>45</v>
      </c>
    </row>
    <row r="434" spans="1:18">
      <c r="A434" s="38">
        <v>45078</v>
      </c>
      <c r="B434" s="8" t="s">
        <v>1144</v>
      </c>
      <c r="C434" s="8" t="s">
        <v>95</v>
      </c>
      <c r="D434" s="8" t="s">
        <v>20</v>
      </c>
      <c r="E434" s="8" t="s">
        <v>32</v>
      </c>
      <c r="F434" s="10">
        <v>6.8</v>
      </c>
      <c r="G434" s="8" t="s">
        <v>1145</v>
      </c>
      <c r="H434" s="8" t="s">
        <v>447</v>
      </c>
      <c r="I434" s="8" t="s">
        <v>176</v>
      </c>
      <c r="J434" s="8" t="s">
        <v>100</v>
      </c>
      <c r="K434" s="8">
        <v>1163.1</v>
      </c>
      <c r="L434" s="11">
        <v>1163.1</v>
      </c>
      <c r="M434" s="8" t="s">
        <v>43</v>
      </c>
      <c r="N434" s="8" t="s">
        <v>13</v>
      </c>
      <c r="O434" s="8" t="s">
        <v>972</v>
      </c>
      <c r="P434" t="s">
        <v>95</v>
      </c>
      <c r="Q434" t="s">
        <v>20</v>
      </c>
      <c r="R434" t="s">
        <v>96</v>
      </c>
    </row>
    <row r="435" spans="1:18">
      <c r="A435" s="38">
        <v>44927</v>
      </c>
      <c r="B435" s="8" t="s">
        <v>1144</v>
      </c>
      <c r="C435" s="8" t="s">
        <v>95</v>
      </c>
      <c r="D435" s="8" t="s">
        <v>20</v>
      </c>
      <c r="E435" s="8" t="s">
        <v>32</v>
      </c>
      <c r="F435" s="13">
        <v>7.15</v>
      </c>
      <c r="G435" s="8" t="s">
        <v>1146</v>
      </c>
      <c r="H435" s="8" t="s">
        <v>86</v>
      </c>
      <c r="I435" s="8" t="s">
        <v>87</v>
      </c>
      <c r="J435" s="8" t="s">
        <v>88</v>
      </c>
      <c r="K435" s="8">
        <v>300</v>
      </c>
      <c r="L435" s="11">
        <v>300</v>
      </c>
      <c r="M435" s="8" t="s">
        <v>66</v>
      </c>
      <c r="N435" s="8" t="s">
        <v>52</v>
      </c>
      <c r="O435" s="8" t="s">
        <v>1147</v>
      </c>
      <c r="P435" t="s">
        <v>140</v>
      </c>
      <c r="Q435" t="s">
        <v>20</v>
      </c>
      <c r="R435" t="s">
        <v>54</v>
      </c>
    </row>
    <row r="436" spans="1:18">
      <c r="A436" s="38">
        <v>44835</v>
      </c>
      <c r="B436" s="8" t="s">
        <v>1144</v>
      </c>
      <c r="C436" s="8" t="s">
        <v>95</v>
      </c>
      <c r="D436" s="8" t="s">
        <v>20</v>
      </c>
      <c r="E436" s="8" t="s">
        <v>32</v>
      </c>
      <c r="F436" s="13">
        <v>7.15</v>
      </c>
      <c r="G436" s="8" t="s">
        <v>1148</v>
      </c>
      <c r="H436" s="8" t="s">
        <v>23</v>
      </c>
      <c r="I436" s="8" t="s">
        <v>24</v>
      </c>
      <c r="J436" s="8" t="s">
        <v>25</v>
      </c>
      <c r="K436" s="8">
        <v>350</v>
      </c>
      <c r="L436" s="11">
        <v>350</v>
      </c>
      <c r="M436" s="8" t="s">
        <v>51</v>
      </c>
      <c r="N436" s="8" t="s">
        <v>13</v>
      </c>
      <c r="O436" s="8" t="s">
        <v>1149</v>
      </c>
      <c r="P436" t="s">
        <v>107</v>
      </c>
      <c r="Q436" t="s">
        <v>20</v>
      </c>
      <c r="R436" t="s">
        <v>62</v>
      </c>
    </row>
    <row r="437" spans="1:18">
      <c r="A437" s="38">
        <v>44986</v>
      </c>
      <c r="B437" s="8" t="s">
        <v>1150</v>
      </c>
      <c r="C437" s="8" t="s">
        <v>95</v>
      </c>
      <c r="D437" s="8" t="s">
        <v>20</v>
      </c>
      <c r="E437" s="8" t="s">
        <v>32</v>
      </c>
      <c r="F437" s="13">
        <v>7.51666666666667</v>
      </c>
      <c r="G437" s="8" t="s">
        <v>1151</v>
      </c>
      <c r="H437" s="8" t="s">
        <v>447</v>
      </c>
      <c r="I437" s="8" t="s">
        <v>176</v>
      </c>
      <c r="J437" s="8" t="s">
        <v>100</v>
      </c>
      <c r="K437" s="8">
        <v>700</v>
      </c>
      <c r="L437" s="11">
        <v>700</v>
      </c>
      <c r="M437" s="8" t="s">
        <v>66</v>
      </c>
      <c r="N437" s="8" t="s">
        <v>52</v>
      </c>
      <c r="O437" s="8" t="s">
        <v>1152</v>
      </c>
      <c r="P437" t="s">
        <v>95</v>
      </c>
      <c r="Q437" t="s">
        <v>20</v>
      </c>
      <c r="R437" t="s">
        <v>96</v>
      </c>
    </row>
    <row r="438" spans="1:18">
      <c r="A438" s="38">
        <v>45170</v>
      </c>
      <c r="B438" s="8" t="s">
        <v>1150</v>
      </c>
      <c r="C438" s="8" t="s">
        <v>95</v>
      </c>
      <c r="D438" s="8" t="s">
        <v>20</v>
      </c>
      <c r="E438" s="8" t="s">
        <v>32</v>
      </c>
      <c r="F438" s="10">
        <v>6.7</v>
      </c>
      <c r="G438" s="8" t="s">
        <v>1153</v>
      </c>
      <c r="H438" s="8" t="s">
        <v>185</v>
      </c>
      <c r="I438" s="8" t="s">
        <v>185</v>
      </c>
      <c r="J438" s="8" t="s">
        <v>25</v>
      </c>
      <c r="K438" s="8">
        <v>1010.15</v>
      </c>
      <c r="L438" s="11">
        <v>1010.15</v>
      </c>
      <c r="M438" s="8" t="s">
        <v>66</v>
      </c>
      <c r="N438" s="8" t="s">
        <v>52</v>
      </c>
      <c r="O438" s="8" t="s">
        <v>1154</v>
      </c>
      <c r="P438" t="s">
        <v>95</v>
      </c>
      <c r="Q438" t="s">
        <v>20</v>
      </c>
      <c r="R438" t="s">
        <v>96</v>
      </c>
    </row>
    <row r="439" spans="1:18">
      <c r="A439" s="38">
        <v>44805</v>
      </c>
      <c r="B439" s="8" t="s">
        <v>1150</v>
      </c>
      <c r="C439" s="8" t="s">
        <v>95</v>
      </c>
      <c r="D439" s="8" t="s">
        <v>20</v>
      </c>
      <c r="E439" s="8" t="s">
        <v>32</v>
      </c>
      <c r="F439" s="10">
        <v>6.25333333333333</v>
      </c>
      <c r="G439" s="8" t="s">
        <v>1155</v>
      </c>
      <c r="H439" s="8" t="s">
        <v>136</v>
      </c>
      <c r="I439" s="8" t="s">
        <v>137</v>
      </c>
      <c r="J439" s="8" t="s">
        <v>25</v>
      </c>
      <c r="K439" s="8">
        <v>6633.05</v>
      </c>
      <c r="L439" s="11">
        <v>6633.05</v>
      </c>
      <c r="M439" s="8" t="s">
        <v>245</v>
      </c>
      <c r="N439" s="8" t="s">
        <v>52</v>
      </c>
      <c r="O439" s="8" t="s">
        <v>707</v>
      </c>
      <c r="P439" t="s">
        <v>95</v>
      </c>
      <c r="Q439" t="s">
        <v>20</v>
      </c>
      <c r="R439" t="s">
        <v>96</v>
      </c>
    </row>
    <row r="440" spans="1:18">
      <c r="A440" s="38">
        <v>44573</v>
      </c>
      <c r="B440" s="8" t="s">
        <v>1156</v>
      </c>
      <c r="C440" s="8" t="s">
        <v>95</v>
      </c>
      <c r="D440" s="8" t="s">
        <v>20</v>
      </c>
      <c r="E440" s="8" t="s">
        <v>32</v>
      </c>
      <c r="F440" s="10">
        <v>6.22222222222222</v>
      </c>
      <c r="G440" s="8" t="s">
        <v>1157</v>
      </c>
      <c r="H440" s="8" t="s">
        <v>185</v>
      </c>
      <c r="I440" s="8" t="s">
        <v>185</v>
      </c>
      <c r="J440" s="8" t="s">
        <v>25</v>
      </c>
      <c r="K440" s="8">
        <v>2673</v>
      </c>
      <c r="L440" s="11">
        <v>2673</v>
      </c>
      <c r="M440" s="8" t="s">
        <v>43</v>
      </c>
      <c r="N440" s="8" t="s">
        <v>52</v>
      </c>
      <c r="O440" s="8" t="s">
        <v>871</v>
      </c>
      <c r="P440" t="s">
        <v>95</v>
      </c>
      <c r="Q440" t="s">
        <v>20</v>
      </c>
      <c r="R440" t="s">
        <v>96</v>
      </c>
    </row>
    <row r="441" spans="1:18">
      <c r="A441" s="38">
        <v>45416</v>
      </c>
      <c r="B441" s="8" t="s">
        <v>1156</v>
      </c>
      <c r="C441" s="8" t="s">
        <v>95</v>
      </c>
      <c r="D441" s="8" t="s">
        <v>20</v>
      </c>
      <c r="E441" s="8" t="s">
        <v>32</v>
      </c>
      <c r="F441" s="13">
        <v>5.95833333333333</v>
      </c>
      <c r="G441" s="8" t="s">
        <v>1158</v>
      </c>
      <c r="H441" s="8" t="s">
        <v>23</v>
      </c>
      <c r="I441" s="8" t="s">
        <v>24</v>
      </c>
      <c r="J441" s="8" t="s">
        <v>25</v>
      </c>
      <c r="K441" s="8">
        <v>1000</v>
      </c>
      <c r="L441" s="11">
        <v>1000</v>
      </c>
      <c r="M441" s="8" t="s">
        <v>240</v>
      </c>
      <c r="N441" s="8" t="s">
        <v>52</v>
      </c>
      <c r="O441" s="8" t="s">
        <v>1159</v>
      </c>
      <c r="P441" t="s">
        <v>95</v>
      </c>
      <c r="Q441" t="s">
        <v>20</v>
      </c>
      <c r="R441" t="s">
        <v>96</v>
      </c>
    </row>
    <row r="442" spans="1:18">
      <c r="A442" s="38">
        <v>45162</v>
      </c>
      <c r="B442" s="8" t="s">
        <v>896</v>
      </c>
      <c r="C442" s="8" t="s">
        <v>179</v>
      </c>
      <c r="D442" s="8" t="s">
        <v>68</v>
      </c>
      <c r="E442" s="8" t="s">
        <v>32</v>
      </c>
      <c r="F442" s="13">
        <v>9.16666666666667</v>
      </c>
      <c r="G442" s="8" t="s">
        <v>1160</v>
      </c>
      <c r="H442" s="8" t="s">
        <v>601</v>
      </c>
      <c r="I442" s="8" t="s">
        <v>601</v>
      </c>
      <c r="J442" s="8" t="s">
        <v>50</v>
      </c>
      <c r="K442" s="8">
        <v>2500</v>
      </c>
      <c r="L442" s="11">
        <v>2500</v>
      </c>
      <c r="M442" s="8" t="s">
        <v>66</v>
      </c>
      <c r="N442" s="8" t="s">
        <v>13</v>
      </c>
      <c r="O442" s="8" t="s">
        <v>1161</v>
      </c>
      <c r="P442" t="s">
        <v>420</v>
      </c>
      <c r="Q442" t="s">
        <v>39</v>
      </c>
      <c r="R442" t="s">
        <v>96</v>
      </c>
    </row>
    <row r="443" spans="1:18">
      <c r="A443" s="38">
        <v>44743</v>
      </c>
      <c r="B443" s="8" t="s">
        <v>810</v>
      </c>
      <c r="C443" s="8" t="s">
        <v>320</v>
      </c>
      <c r="D443" s="8" t="s">
        <v>20</v>
      </c>
      <c r="E443" s="8" t="s">
        <v>21</v>
      </c>
      <c r="F443" s="13">
        <v>5.04166666666667</v>
      </c>
      <c r="G443" s="8" t="s">
        <v>1162</v>
      </c>
      <c r="H443" s="8" t="s">
        <v>185</v>
      </c>
      <c r="I443" s="8" t="s">
        <v>185</v>
      </c>
      <c r="J443" s="8" t="s">
        <v>25</v>
      </c>
      <c r="K443" s="8">
        <v>7500</v>
      </c>
      <c r="L443" s="11">
        <v>7500</v>
      </c>
      <c r="M443" s="8" t="s">
        <v>51</v>
      </c>
      <c r="N443" s="8" t="s">
        <v>13</v>
      </c>
      <c r="O443" s="8" t="s">
        <v>1163</v>
      </c>
      <c r="P443" t="s">
        <v>28</v>
      </c>
      <c r="Q443" t="s">
        <v>20</v>
      </c>
    </row>
    <row r="444" spans="1:18">
      <c r="A444" s="38">
        <v>44743</v>
      </c>
      <c r="B444" s="8" t="s">
        <v>810</v>
      </c>
      <c r="C444" s="8" t="s">
        <v>320</v>
      </c>
      <c r="D444" s="8" t="s">
        <v>20</v>
      </c>
      <c r="E444" s="8" t="s">
        <v>21</v>
      </c>
      <c r="F444" s="13">
        <v>7.88333333333333</v>
      </c>
      <c r="G444" s="8" t="s">
        <v>1164</v>
      </c>
      <c r="H444" s="8" t="s">
        <v>23</v>
      </c>
      <c r="I444" s="8" t="s">
        <v>24</v>
      </c>
      <c r="J444" s="8" t="s">
        <v>25</v>
      </c>
      <c r="K444" s="8">
        <v>1842</v>
      </c>
      <c r="L444" s="11">
        <v>1842</v>
      </c>
      <c r="M444" s="8" t="s">
        <v>51</v>
      </c>
      <c r="N444" s="8" t="s">
        <v>13</v>
      </c>
      <c r="O444" s="8" t="s">
        <v>1165</v>
      </c>
      <c r="P444" t="s">
        <v>28</v>
      </c>
      <c r="Q444" t="s">
        <v>20</v>
      </c>
      <c r="R444" t="s">
        <v>28</v>
      </c>
    </row>
    <row r="445" spans="1:18">
      <c r="A445" s="38">
        <v>44713</v>
      </c>
      <c r="B445" s="8" t="s">
        <v>810</v>
      </c>
      <c r="C445" s="8" t="s">
        <v>320</v>
      </c>
      <c r="D445" s="8" t="s">
        <v>20</v>
      </c>
      <c r="E445" s="8" t="s">
        <v>21</v>
      </c>
      <c r="F445" s="13">
        <v>9.075</v>
      </c>
      <c r="G445" s="8" t="s">
        <v>1166</v>
      </c>
      <c r="H445" s="8" t="s">
        <v>291</v>
      </c>
      <c r="I445" s="8" t="s">
        <v>87</v>
      </c>
      <c r="J445" s="8" t="s">
        <v>88</v>
      </c>
      <c r="K445" s="8">
        <v>700</v>
      </c>
      <c r="L445" s="11">
        <v>700</v>
      </c>
      <c r="M445" s="8" t="s">
        <v>51</v>
      </c>
      <c r="N445" s="8" t="s">
        <v>13</v>
      </c>
      <c r="O445" s="8" t="s">
        <v>1167</v>
      </c>
      <c r="P445" t="s">
        <v>28</v>
      </c>
      <c r="Q445" t="s">
        <v>991</v>
      </c>
      <c r="R445" t="s">
        <v>28</v>
      </c>
    </row>
    <row r="446" spans="1:18">
      <c r="A446" s="38">
        <v>45295</v>
      </c>
      <c r="B446" s="8" t="s">
        <v>63</v>
      </c>
      <c r="C446" s="8" t="s">
        <v>64</v>
      </c>
      <c r="D446" s="8" t="s">
        <v>20</v>
      </c>
      <c r="E446" s="8" t="s">
        <v>21</v>
      </c>
      <c r="F446" s="13">
        <v>3.66666666666667</v>
      </c>
      <c r="G446" s="8" t="s">
        <v>1168</v>
      </c>
      <c r="H446" s="8" t="s">
        <v>165</v>
      </c>
      <c r="I446" s="8" t="s">
        <v>165</v>
      </c>
      <c r="J446" s="8" t="s">
        <v>50</v>
      </c>
      <c r="K446" s="8">
        <v>1186</v>
      </c>
      <c r="L446" s="11">
        <v>1186</v>
      </c>
      <c r="M446" s="8" t="s">
        <v>66</v>
      </c>
      <c r="N446" s="8" t="s">
        <v>13</v>
      </c>
      <c r="O446" s="8" t="s">
        <v>1143</v>
      </c>
      <c r="P446" t="s">
        <v>150</v>
      </c>
      <c r="Q446" t="s">
        <v>151</v>
      </c>
      <c r="R446" t="s">
        <v>45</v>
      </c>
    </row>
    <row r="447" spans="1:18">
      <c r="A447" s="38">
        <v>44743</v>
      </c>
      <c r="B447" s="8" t="s">
        <v>1169</v>
      </c>
      <c r="C447" s="8" t="s">
        <v>140</v>
      </c>
      <c r="D447" s="8" t="s">
        <v>20</v>
      </c>
      <c r="E447" s="8" t="s">
        <v>32</v>
      </c>
      <c r="F447" s="13">
        <v>9.16666666666667</v>
      </c>
      <c r="G447" s="8" t="s">
        <v>1170</v>
      </c>
      <c r="H447" s="8" t="s">
        <v>23</v>
      </c>
      <c r="I447" s="8" t="s">
        <v>24</v>
      </c>
      <c r="J447" s="8" t="s">
        <v>25</v>
      </c>
      <c r="K447" s="8">
        <v>2639</v>
      </c>
      <c r="L447" s="11">
        <v>2639</v>
      </c>
      <c r="M447" s="8" t="s">
        <v>43</v>
      </c>
      <c r="N447" s="8" t="s">
        <v>52</v>
      </c>
      <c r="O447" s="8" t="s">
        <v>513</v>
      </c>
      <c r="P447" t="s">
        <v>140</v>
      </c>
      <c r="Q447" t="s">
        <v>20</v>
      </c>
      <c r="R447" t="s">
        <v>54</v>
      </c>
    </row>
    <row r="448" spans="1:18">
      <c r="A448" s="38">
        <v>44757</v>
      </c>
      <c r="B448" s="8" t="s">
        <v>1169</v>
      </c>
      <c r="C448" s="8" t="s">
        <v>140</v>
      </c>
      <c r="D448" s="8" t="s">
        <v>20</v>
      </c>
      <c r="E448" s="8" t="s">
        <v>32</v>
      </c>
      <c r="F448" s="13">
        <v>9.16666666666667</v>
      </c>
      <c r="G448" s="8" t="s">
        <v>1171</v>
      </c>
      <c r="H448" s="8" t="s">
        <v>23</v>
      </c>
      <c r="I448" s="8" t="s">
        <v>24</v>
      </c>
      <c r="J448" s="8" t="s">
        <v>25</v>
      </c>
      <c r="K448" s="8">
        <v>2600</v>
      </c>
      <c r="L448" s="11">
        <v>2600</v>
      </c>
      <c r="M448" s="8" t="s">
        <v>43</v>
      </c>
      <c r="N448" s="8" t="s">
        <v>13</v>
      </c>
      <c r="O448" s="8" t="s">
        <v>1172</v>
      </c>
      <c r="P448" t="s">
        <v>140</v>
      </c>
      <c r="Q448" t="s">
        <v>20</v>
      </c>
      <c r="R448" t="s">
        <v>54</v>
      </c>
    </row>
    <row r="449" spans="1:18">
      <c r="A449" s="38">
        <v>45047</v>
      </c>
      <c r="B449" s="8" t="s">
        <v>1173</v>
      </c>
      <c r="C449" s="8" t="s">
        <v>95</v>
      </c>
      <c r="D449" s="8" t="s">
        <v>20</v>
      </c>
      <c r="E449" s="8" t="s">
        <v>32</v>
      </c>
      <c r="F449" s="13">
        <v>5.775</v>
      </c>
      <c r="G449" s="8" t="s">
        <v>1174</v>
      </c>
      <c r="H449" s="8" t="s">
        <v>86</v>
      </c>
      <c r="I449" s="8" t="s">
        <v>87</v>
      </c>
      <c r="J449" s="8" t="s">
        <v>88</v>
      </c>
      <c r="K449" s="8">
        <v>1500</v>
      </c>
      <c r="L449" s="11">
        <v>1500</v>
      </c>
      <c r="M449" s="8" t="s">
        <v>43</v>
      </c>
      <c r="N449" s="8" t="s">
        <v>13</v>
      </c>
      <c r="O449" s="8" t="s">
        <v>1175</v>
      </c>
      <c r="P449" t="s">
        <v>320</v>
      </c>
      <c r="Q449" t="s">
        <v>20</v>
      </c>
      <c r="R449" t="s">
        <v>84</v>
      </c>
    </row>
    <row r="450" spans="1:18">
      <c r="A450" s="38">
        <v>45261</v>
      </c>
      <c r="B450" s="8" t="s">
        <v>1176</v>
      </c>
      <c r="C450" s="8" t="s">
        <v>140</v>
      </c>
      <c r="D450" s="8" t="s">
        <v>20</v>
      </c>
      <c r="E450" s="8" t="s">
        <v>32</v>
      </c>
      <c r="F450" s="13">
        <v>7.79166666666667</v>
      </c>
      <c r="G450" s="8" t="s">
        <v>1177</v>
      </c>
      <c r="H450" s="8" t="s">
        <v>42</v>
      </c>
      <c r="I450" s="8" t="s">
        <v>42</v>
      </c>
      <c r="J450" s="8" t="s">
        <v>25</v>
      </c>
      <c r="K450" s="8">
        <v>600</v>
      </c>
      <c r="L450" s="11">
        <v>600</v>
      </c>
      <c r="M450" s="8" t="s">
        <v>66</v>
      </c>
      <c r="N450" s="8" t="s">
        <v>52</v>
      </c>
      <c r="O450" s="8" t="s">
        <v>101</v>
      </c>
      <c r="P450" t="s">
        <v>95</v>
      </c>
      <c r="Q450" t="s">
        <v>20</v>
      </c>
      <c r="R450" t="s">
        <v>96</v>
      </c>
    </row>
    <row r="451" spans="1:18">
      <c r="A451" s="38">
        <v>45376</v>
      </c>
      <c r="B451" s="8" t="s">
        <v>1178</v>
      </c>
      <c r="C451" s="8" t="s">
        <v>56</v>
      </c>
      <c r="D451" s="8" t="s">
        <v>31</v>
      </c>
      <c r="E451" s="8" t="s">
        <v>32</v>
      </c>
      <c r="F451" s="13">
        <v>4.58333333333333</v>
      </c>
      <c r="G451" s="8" t="s">
        <v>1179</v>
      </c>
      <c r="H451" s="8" t="s">
        <v>564</v>
      </c>
      <c r="I451" s="8" t="s">
        <v>200</v>
      </c>
      <c r="J451" s="8" t="s">
        <v>201</v>
      </c>
      <c r="K451" s="8">
        <v>740</v>
      </c>
      <c r="L451" s="11">
        <v>740</v>
      </c>
      <c r="M451" s="8" t="s">
        <v>43</v>
      </c>
      <c r="N451" s="8" t="s">
        <v>13</v>
      </c>
      <c r="O451" s="8" t="s">
        <v>1180</v>
      </c>
      <c r="P451" t="s">
        <v>234</v>
      </c>
      <c r="Q451" t="s">
        <v>31</v>
      </c>
      <c r="R451" t="s">
        <v>45</v>
      </c>
    </row>
    <row r="452" spans="1:18">
      <c r="A452" s="38">
        <v>45111</v>
      </c>
      <c r="B452" s="8" t="s">
        <v>1178</v>
      </c>
      <c r="C452" s="8" t="s">
        <v>56</v>
      </c>
      <c r="D452" s="8" t="s">
        <v>31</v>
      </c>
      <c r="E452" s="8" t="s">
        <v>32</v>
      </c>
      <c r="F452" s="13">
        <v>6.41666666666667</v>
      </c>
      <c r="G452" s="8" t="s">
        <v>1181</v>
      </c>
      <c r="H452" s="8" t="s">
        <v>103</v>
      </c>
      <c r="I452" s="8" t="s">
        <v>104</v>
      </c>
      <c r="J452" s="8" t="s">
        <v>105</v>
      </c>
      <c r="K452" s="8">
        <v>1500</v>
      </c>
      <c r="L452" s="11">
        <v>1500</v>
      </c>
      <c r="M452" s="8" t="s">
        <v>75</v>
      </c>
      <c r="N452" s="8" t="s">
        <v>13</v>
      </c>
      <c r="O452" s="8" t="s">
        <v>1182</v>
      </c>
      <c r="P452" t="s">
        <v>230</v>
      </c>
      <c r="Q452" t="s">
        <v>68</v>
      </c>
      <c r="R452" t="s">
        <v>96</v>
      </c>
    </row>
    <row r="453" spans="1:18">
      <c r="A453" s="38">
        <v>45260</v>
      </c>
      <c r="B453" s="8" t="s">
        <v>1178</v>
      </c>
      <c r="C453" s="8" t="s">
        <v>56</v>
      </c>
      <c r="D453" s="8" t="s">
        <v>31</v>
      </c>
      <c r="E453" s="8" t="s">
        <v>32</v>
      </c>
      <c r="F453" s="13">
        <v>5.775</v>
      </c>
      <c r="G453" s="8" t="s">
        <v>1183</v>
      </c>
      <c r="H453" s="8" t="s">
        <v>42</v>
      </c>
      <c r="I453" s="8" t="s">
        <v>42</v>
      </c>
      <c r="J453" s="8" t="s">
        <v>25</v>
      </c>
      <c r="K453" s="8">
        <v>700</v>
      </c>
      <c r="L453" s="11">
        <v>700</v>
      </c>
      <c r="M453" s="8" t="s">
        <v>51</v>
      </c>
      <c r="N453" s="8" t="s">
        <v>52</v>
      </c>
      <c r="O453" s="8" t="s">
        <v>1184</v>
      </c>
      <c r="P453" t="s">
        <v>28</v>
      </c>
      <c r="Q453" t="s">
        <v>31</v>
      </c>
      <c r="R453" t="s">
        <v>28</v>
      </c>
    </row>
    <row r="454" spans="1:18">
      <c r="A454" s="38">
        <v>45026</v>
      </c>
      <c r="B454" s="8" t="s">
        <v>1178</v>
      </c>
      <c r="C454" s="8" t="s">
        <v>56</v>
      </c>
      <c r="D454" s="8" t="s">
        <v>31</v>
      </c>
      <c r="E454" s="8" t="s">
        <v>32</v>
      </c>
      <c r="F454" s="13">
        <v>5.04166666666667</v>
      </c>
      <c r="G454" s="8" t="s">
        <v>1185</v>
      </c>
      <c r="H454" s="8" t="s">
        <v>185</v>
      </c>
      <c r="I454" s="8" t="s">
        <v>185</v>
      </c>
      <c r="J454" s="8" t="s">
        <v>25</v>
      </c>
      <c r="K454" s="8">
        <v>5540</v>
      </c>
      <c r="L454" s="11">
        <v>5540</v>
      </c>
      <c r="M454" s="8" t="s">
        <v>51</v>
      </c>
      <c r="N454" s="8" t="s">
        <v>13</v>
      </c>
      <c r="O454" s="8" t="s">
        <v>1186</v>
      </c>
      <c r="P454" t="s">
        <v>95</v>
      </c>
      <c r="Q454" t="s">
        <v>20</v>
      </c>
      <c r="R454" t="s">
        <v>96</v>
      </c>
    </row>
    <row r="455" spans="1:18">
      <c r="A455" s="38">
        <v>45078</v>
      </c>
      <c r="B455" s="8" t="s">
        <v>1187</v>
      </c>
      <c r="C455" s="8" t="s">
        <v>30</v>
      </c>
      <c r="D455" s="8" t="s">
        <v>31</v>
      </c>
      <c r="E455" s="8" t="s">
        <v>32</v>
      </c>
      <c r="F455" s="10">
        <v>15.9428571428571</v>
      </c>
      <c r="G455" s="8" t="s">
        <v>1188</v>
      </c>
      <c r="H455" s="8" t="s">
        <v>208</v>
      </c>
      <c r="I455" s="8" t="s">
        <v>104</v>
      </c>
      <c r="J455" s="8" t="s">
        <v>105</v>
      </c>
      <c r="K455" s="8">
        <v>549.52</v>
      </c>
      <c r="L455" s="11">
        <v>549.52</v>
      </c>
      <c r="M455" s="8" t="s">
        <v>1189</v>
      </c>
      <c r="N455" s="8" t="s">
        <v>52</v>
      </c>
      <c r="O455" s="8" t="s">
        <v>1190</v>
      </c>
      <c r="P455" t="s">
        <v>140</v>
      </c>
      <c r="Q455" t="s">
        <v>20</v>
      </c>
      <c r="R455" t="s">
        <v>54</v>
      </c>
    </row>
    <row r="456" spans="1:18">
      <c r="A456" s="38">
        <v>44927</v>
      </c>
      <c r="B456" s="8" t="s">
        <v>1187</v>
      </c>
      <c r="C456" s="8" t="s">
        <v>30</v>
      </c>
      <c r="D456" s="8" t="s">
        <v>31</v>
      </c>
      <c r="E456" s="8" t="s">
        <v>32</v>
      </c>
      <c r="F456" s="13">
        <v>13.75</v>
      </c>
      <c r="G456" s="8" t="s">
        <v>1191</v>
      </c>
      <c r="H456" s="8" t="s">
        <v>42</v>
      </c>
      <c r="I456" s="8" t="s">
        <v>42</v>
      </c>
      <c r="J456" s="8" t="s">
        <v>25</v>
      </c>
      <c r="K456" s="8">
        <v>1325</v>
      </c>
      <c r="L456" s="11">
        <v>1325</v>
      </c>
      <c r="M456" s="8" t="s">
        <v>43</v>
      </c>
      <c r="N456" s="8" t="s">
        <v>52</v>
      </c>
      <c r="O456" s="8" t="s">
        <v>952</v>
      </c>
      <c r="P456" t="s">
        <v>30</v>
      </c>
      <c r="Q456" t="s">
        <v>31</v>
      </c>
      <c r="R456" t="s">
        <v>54</v>
      </c>
    </row>
    <row r="457" spans="1:18">
      <c r="A457" s="38">
        <v>44896</v>
      </c>
      <c r="B457" s="8" t="s">
        <v>63</v>
      </c>
      <c r="C457" s="8" t="s">
        <v>64</v>
      </c>
      <c r="D457" s="8" t="s">
        <v>20</v>
      </c>
      <c r="E457" s="8" t="s">
        <v>21</v>
      </c>
      <c r="F457" s="10">
        <v>7.4</v>
      </c>
      <c r="G457" s="8" t="s">
        <v>1192</v>
      </c>
      <c r="H457" s="8" t="s">
        <v>171</v>
      </c>
      <c r="I457" s="8" t="s">
        <v>171</v>
      </c>
      <c r="J457" s="8" t="s">
        <v>50</v>
      </c>
      <c r="K457" s="8">
        <v>457.83</v>
      </c>
      <c r="L457" s="11">
        <v>457.83</v>
      </c>
      <c r="M457" s="8" t="s">
        <v>66</v>
      </c>
      <c r="N457" s="8" t="s">
        <v>13</v>
      </c>
      <c r="O457" s="8" t="s">
        <v>1193</v>
      </c>
      <c r="P457" t="s">
        <v>750</v>
      </c>
      <c r="Q457" t="s">
        <v>20</v>
      </c>
      <c r="R457" t="s">
        <v>84</v>
      </c>
    </row>
    <row r="458" spans="1:18">
      <c r="A458" s="38">
        <v>45078</v>
      </c>
      <c r="B458" s="8" t="s">
        <v>993</v>
      </c>
      <c r="C458" s="8" t="s">
        <v>420</v>
      </c>
      <c r="D458" s="8" t="s">
        <v>39</v>
      </c>
      <c r="E458" s="8" t="s">
        <v>32</v>
      </c>
      <c r="F458" s="13">
        <v>8.70833333333333</v>
      </c>
      <c r="G458" s="8" t="s">
        <v>1194</v>
      </c>
      <c r="H458" s="8" t="s">
        <v>165</v>
      </c>
      <c r="I458" s="8" t="s">
        <v>165</v>
      </c>
      <c r="J458" s="8" t="s">
        <v>50</v>
      </c>
      <c r="K458" s="8">
        <v>1200</v>
      </c>
      <c r="L458" s="11">
        <v>1200</v>
      </c>
      <c r="M458" s="8" t="s">
        <v>51</v>
      </c>
      <c r="N458" s="8" t="s">
        <v>13</v>
      </c>
      <c r="O458" s="8" t="s">
        <v>1195</v>
      </c>
      <c r="P458" t="s">
        <v>28</v>
      </c>
      <c r="Q458" t="s">
        <v>151</v>
      </c>
      <c r="R458" t="s">
        <v>28</v>
      </c>
    </row>
    <row r="459" ht="28" spans="1:18">
      <c r="A459" s="38">
        <v>45231</v>
      </c>
      <c r="B459" s="8" t="s">
        <v>1196</v>
      </c>
      <c r="C459" s="8" t="s">
        <v>265</v>
      </c>
      <c r="D459" s="8" t="s">
        <v>235</v>
      </c>
      <c r="E459" s="8" t="s">
        <v>21</v>
      </c>
      <c r="F459" s="10">
        <v>4.31</v>
      </c>
      <c r="G459" s="17" t="s">
        <v>1197</v>
      </c>
      <c r="H459" s="8" t="s">
        <v>564</v>
      </c>
      <c r="I459" s="8" t="s">
        <v>200</v>
      </c>
      <c r="J459" s="8" t="s">
        <v>201</v>
      </c>
      <c r="K459" s="8">
        <v>155.85</v>
      </c>
      <c r="L459" s="11">
        <v>155.85</v>
      </c>
      <c r="M459" s="8" t="s">
        <v>75</v>
      </c>
      <c r="N459" s="8" t="s">
        <v>13</v>
      </c>
      <c r="O459" s="8" t="s">
        <v>1198</v>
      </c>
      <c r="P459" t="s">
        <v>28</v>
      </c>
      <c r="Q459" t="s">
        <v>1199</v>
      </c>
      <c r="R459" t="s">
        <v>28</v>
      </c>
    </row>
    <row r="460" spans="1:18">
      <c r="A460" s="38">
        <v>44774</v>
      </c>
      <c r="B460" s="8" t="s">
        <v>1196</v>
      </c>
      <c r="C460" s="8" t="s">
        <v>265</v>
      </c>
      <c r="D460" s="8" t="s">
        <v>235</v>
      </c>
      <c r="E460" s="8" t="s">
        <v>21</v>
      </c>
      <c r="F460" s="10">
        <v>6.16916666666667</v>
      </c>
      <c r="G460" s="8" t="s">
        <v>1200</v>
      </c>
      <c r="H460" s="8" t="s">
        <v>1201</v>
      </c>
      <c r="I460" s="8" t="s">
        <v>211</v>
      </c>
      <c r="J460" s="8" t="s">
        <v>81</v>
      </c>
      <c r="K460" s="8">
        <v>75.4</v>
      </c>
      <c r="L460" s="11">
        <v>75.4</v>
      </c>
      <c r="M460" s="8" t="s">
        <v>245</v>
      </c>
      <c r="N460" s="8" t="s">
        <v>13</v>
      </c>
      <c r="O460" s="8" t="s">
        <v>1202</v>
      </c>
      <c r="P460" t="s">
        <v>28</v>
      </c>
      <c r="Q460" t="s">
        <v>134</v>
      </c>
      <c r="R460" t="s">
        <v>28</v>
      </c>
    </row>
    <row r="461" spans="1:18">
      <c r="A461" s="38">
        <v>45078</v>
      </c>
      <c r="B461" s="8" t="s">
        <v>1203</v>
      </c>
      <c r="C461" s="8" t="s">
        <v>122</v>
      </c>
      <c r="D461" s="8" t="s">
        <v>123</v>
      </c>
      <c r="E461" s="8" t="s">
        <v>32</v>
      </c>
      <c r="F461" s="13">
        <v>10.0833333333333</v>
      </c>
      <c r="G461" s="8" t="s">
        <v>1204</v>
      </c>
      <c r="H461" s="8" t="s">
        <v>91</v>
      </c>
      <c r="I461" s="8" t="s">
        <v>92</v>
      </c>
      <c r="J461" s="8" t="s">
        <v>93</v>
      </c>
      <c r="K461" s="8">
        <v>500</v>
      </c>
      <c r="L461" s="11">
        <v>500</v>
      </c>
      <c r="M461" s="8" t="s">
        <v>66</v>
      </c>
      <c r="N461" s="8" t="s">
        <v>13</v>
      </c>
      <c r="O461" s="8" t="s">
        <v>1205</v>
      </c>
      <c r="P461" t="s">
        <v>234</v>
      </c>
      <c r="Q461" t="s">
        <v>31</v>
      </c>
      <c r="R461" t="s">
        <v>45</v>
      </c>
    </row>
    <row r="462" spans="1:18">
      <c r="A462" s="38">
        <v>45170</v>
      </c>
      <c r="B462" s="8" t="s">
        <v>1203</v>
      </c>
      <c r="C462" s="8" t="s">
        <v>122</v>
      </c>
      <c r="D462" s="8" t="s">
        <v>123</v>
      </c>
      <c r="E462" s="8" t="s">
        <v>32</v>
      </c>
      <c r="F462" s="14">
        <v>9.88</v>
      </c>
      <c r="G462" s="8" t="s">
        <v>1206</v>
      </c>
      <c r="H462" s="8" t="s">
        <v>142</v>
      </c>
      <c r="I462" s="8" t="s">
        <v>142</v>
      </c>
      <c r="J462" s="8" t="s">
        <v>25</v>
      </c>
      <c r="K462" s="8">
        <v>1158.67</v>
      </c>
      <c r="L462" s="11">
        <v>1158.67</v>
      </c>
      <c r="M462" s="8" t="s">
        <v>43</v>
      </c>
      <c r="N462" s="8" t="s">
        <v>13</v>
      </c>
      <c r="O462" s="8" t="s">
        <v>1207</v>
      </c>
      <c r="P462" t="s">
        <v>28</v>
      </c>
      <c r="Q462" t="s">
        <v>68</v>
      </c>
      <c r="R462" t="s">
        <v>28</v>
      </c>
    </row>
    <row r="463" spans="1:18">
      <c r="A463" s="38">
        <v>45040</v>
      </c>
      <c r="B463" s="8" t="s">
        <v>1208</v>
      </c>
      <c r="C463" s="8" t="s">
        <v>30</v>
      </c>
      <c r="D463" s="8" t="s">
        <v>31</v>
      </c>
      <c r="E463" s="8" t="s">
        <v>32</v>
      </c>
      <c r="F463" s="13">
        <v>13.75</v>
      </c>
      <c r="G463" s="8" t="s">
        <v>1209</v>
      </c>
      <c r="H463" s="8" t="s">
        <v>199</v>
      </c>
      <c r="I463" s="8" t="s">
        <v>200</v>
      </c>
      <c r="J463" s="8" t="s">
        <v>201</v>
      </c>
      <c r="K463" s="8">
        <v>2100</v>
      </c>
      <c r="L463" s="11">
        <v>2100</v>
      </c>
      <c r="M463" s="8" t="s">
        <v>43</v>
      </c>
      <c r="N463" s="8" t="s">
        <v>52</v>
      </c>
      <c r="O463" s="8" t="s">
        <v>445</v>
      </c>
      <c r="P463" t="s">
        <v>30</v>
      </c>
      <c r="Q463" t="s">
        <v>31</v>
      </c>
      <c r="R463" t="s">
        <v>54</v>
      </c>
    </row>
    <row r="464" spans="1:18">
      <c r="A464" s="38">
        <v>45413</v>
      </c>
      <c r="B464" s="8" t="s">
        <v>1210</v>
      </c>
      <c r="C464" s="8" t="s">
        <v>122</v>
      </c>
      <c r="D464" s="8" t="s">
        <v>123</v>
      </c>
      <c r="E464" s="8" t="s">
        <v>32</v>
      </c>
      <c r="F464" s="10">
        <v>8</v>
      </c>
      <c r="G464" s="8" t="s">
        <v>1211</v>
      </c>
      <c r="H464" s="8" t="s">
        <v>291</v>
      </c>
      <c r="I464" s="8" t="s">
        <v>87</v>
      </c>
      <c r="J464" s="8" t="s">
        <v>88</v>
      </c>
      <c r="K464" s="8">
        <v>783.27</v>
      </c>
      <c r="L464" s="11">
        <v>783.27</v>
      </c>
      <c r="M464" s="8" t="s">
        <v>26</v>
      </c>
      <c r="N464" s="8" t="s">
        <v>52</v>
      </c>
      <c r="O464" s="8" t="s">
        <v>1212</v>
      </c>
      <c r="P464" t="s">
        <v>95</v>
      </c>
      <c r="Q464" t="s">
        <v>20</v>
      </c>
      <c r="R464" t="s">
        <v>96</v>
      </c>
    </row>
    <row r="465" spans="1:18">
      <c r="A465" s="38">
        <v>45444</v>
      </c>
      <c r="B465" s="8" t="s">
        <v>1210</v>
      </c>
      <c r="C465" s="8" t="s">
        <v>122</v>
      </c>
      <c r="D465" s="8" t="s">
        <v>123</v>
      </c>
      <c r="E465" s="8" t="s">
        <v>32</v>
      </c>
      <c r="F465" s="13">
        <v>6.1875</v>
      </c>
      <c r="G465" s="8" t="s">
        <v>1213</v>
      </c>
      <c r="H465" s="8" t="s">
        <v>1214</v>
      </c>
      <c r="I465" s="8" t="s">
        <v>1215</v>
      </c>
      <c r="J465" s="8" t="s">
        <v>1216</v>
      </c>
      <c r="K465" s="8">
        <v>615</v>
      </c>
      <c r="L465" s="11">
        <v>615</v>
      </c>
      <c r="M465" s="8" t="s">
        <v>26</v>
      </c>
      <c r="N465" s="8" t="s">
        <v>13</v>
      </c>
      <c r="O465" s="8" t="s">
        <v>1217</v>
      </c>
      <c r="P465" t="s">
        <v>150</v>
      </c>
      <c r="Q465" t="s">
        <v>151</v>
      </c>
      <c r="R465" t="s">
        <v>45</v>
      </c>
    </row>
    <row r="466" spans="1:18">
      <c r="A466" s="38">
        <v>45413</v>
      </c>
      <c r="B466" s="8" t="s">
        <v>1218</v>
      </c>
      <c r="C466" s="8" t="s">
        <v>72</v>
      </c>
      <c r="D466" s="8" t="s">
        <v>39</v>
      </c>
      <c r="E466" s="8" t="s">
        <v>21</v>
      </c>
      <c r="F466" s="13">
        <v>8.06666666666667</v>
      </c>
      <c r="G466" s="8" t="s">
        <v>1219</v>
      </c>
      <c r="H466" s="8" t="s">
        <v>570</v>
      </c>
      <c r="I466" s="8" t="s">
        <v>80</v>
      </c>
      <c r="J466" s="8" t="s">
        <v>81</v>
      </c>
      <c r="K466" s="8">
        <v>7800</v>
      </c>
      <c r="L466" s="11">
        <v>7800</v>
      </c>
      <c r="M466" s="8" t="s">
        <v>51</v>
      </c>
      <c r="N466" s="8" t="s">
        <v>13</v>
      </c>
      <c r="O466" s="8" t="s">
        <v>1220</v>
      </c>
      <c r="P466" t="s">
        <v>750</v>
      </c>
      <c r="Q466" t="s">
        <v>20</v>
      </c>
      <c r="R466" t="s">
        <v>84</v>
      </c>
    </row>
    <row r="467" spans="1:18">
      <c r="A467" s="38">
        <v>45021</v>
      </c>
      <c r="B467" s="8" t="s">
        <v>1221</v>
      </c>
      <c r="C467" s="8" t="s">
        <v>169</v>
      </c>
      <c r="D467" s="8" t="s">
        <v>111</v>
      </c>
      <c r="E467" s="8" t="s">
        <v>21</v>
      </c>
      <c r="F467" s="13">
        <v>4.125</v>
      </c>
      <c r="G467" s="8" t="s">
        <v>1222</v>
      </c>
      <c r="H467" s="8" t="s">
        <v>86</v>
      </c>
      <c r="I467" s="8" t="s">
        <v>87</v>
      </c>
      <c r="J467" s="8" t="s">
        <v>88</v>
      </c>
      <c r="K467" s="8">
        <v>560</v>
      </c>
      <c r="L467" s="11">
        <v>560</v>
      </c>
      <c r="M467" s="8" t="s">
        <v>51</v>
      </c>
      <c r="N467" s="8" t="s">
        <v>13</v>
      </c>
      <c r="O467" s="8" t="s">
        <v>1223</v>
      </c>
      <c r="P467" t="s">
        <v>28</v>
      </c>
      <c r="Q467" t="s">
        <v>57</v>
      </c>
      <c r="R467" t="s">
        <v>28</v>
      </c>
    </row>
    <row r="468" spans="1:18">
      <c r="A468" s="38">
        <v>45261</v>
      </c>
      <c r="B468" s="8" t="s">
        <v>1221</v>
      </c>
      <c r="C468" s="8" t="s">
        <v>169</v>
      </c>
      <c r="D468" s="8" t="s">
        <v>111</v>
      </c>
      <c r="E468" s="8" t="s">
        <v>21</v>
      </c>
      <c r="F468" s="10">
        <v>3.15</v>
      </c>
      <c r="G468" s="8" t="s">
        <v>1224</v>
      </c>
      <c r="H468" s="8" t="s">
        <v>564</v>
      </c>
      <c r="I468" s="8" t="s">
        <v>200</v>
      </c>
      <c r="J468" s="8" t="s">
        <v>201</v>
      </c>
      <c r="K468" s="8">
        <v>1847.95</v>
      </c>
      <c r="L468" s="11">
        <v>1847.95</v>
      </c>
      <c r="M468" s="8" t="s">
        <v>66</v>
      </c>
      <c r="N468" s="8" t="s">
        <v>52</v>
      </c>
      <c r="O468" s="8" t="s">
        <v>1225</v>
      </c>
      <c r="P468" t="s">
        <v>140</v>
      </c>
      <c r="Q468" t="s">
        <v>20</v>
      </c>
      <c r="R468" t="s">
        <v>54</v>
      </c>
    </row>
    <row r="469" spans="1:18">
      <c r="A469" s="38">
        <v>45444</v>
      </c>
      <c r="B469" s="8" t="s">
        <v>462</v>
      </c>
      <c r="C469" s="8" t="s">
        <v>463</v>
      </c>
      <c r="D469" s="8" t="s">
        <v>111</v>
      </c>
      <c r="E469" s="8" t="s">
        <v>21</v>
      </c>
      <c r="F469" s="10">
        <v>6.31111111111111</v>
      </c>
      <c r="G469" s="8" t="s">
        <v>1226</v>
      </c>
      <c r="H469" s="8" t="s">
        <v>564</v>
      </c>
      <c r="I469" s="8" t="s">
        <v>200</v>
      </c>
      <c r="J469" s="8" t="s">
        <v>201</v>
      </c>
      <c r="K469" s="8">
        <v>840</v>
      </c>
      <c r="L469" s="11">
        <v>840</v>
      </c>
      <c r="M469" s="8" t="s">
        <v>51</v>
      </c>
      <c r="N469" s="8" t="s">
        <v>13</v>
      </c>
      <c r="O469" s="8" t="s">
        <v>1227</v>
      </c>
      <c r="P469" t="s">
        <v>28</v>
      </c>
      <c r="Q469" t="s">
        <v>31</v>
      </c>
      <c r="R469" t="s">
        <v>28</v>
      </c>
    </row>
    <row r="470" spans="1:18">
      <c r="A470" s="38">
        <v>45474</v>
      </c>
      <c r="B470" s="8" t="s">
        <v>462</v>
      </c>
      <c r="C470" s="8" t="s">
        <v>463</v>
      </c>
      <c r="D470" s="8" t="s">
        <v>111</v>
      </c>
      <c r="E470" s="8" t="s">
        <v>21</v>
      </c>
      <c r="F470" s="10">
        <v>5.15555555555556</v>
      </c>
      <c r="G470" s="8" t="s">
        <v>1228</v>
      </c>
      <c r="H470" s="8" t="s">
        <v>557</v>
      </c>
      <c r="I470" s="8" t="s">
        <v>378</v>
      </c>
      <c r="J470" s="8" t="s">
        <v>88</v>
      </c>
      <c r="K470" s="8">
        <v>500</v>
      </c>
      <c r="L470" s="11">
        <v>500</v>
      </c>
      <c r="M470" s="8" t="s">
        <v>26</v>
      </c>
      <c r="N470" s="8" t="s">
        <v>13</v>
      </c>
      <c r="O470" s="8" t="s">
        <v>1229</v>
      </c>
      <c r="P470" t="s">
        <v>30</v>
      </c>
      <c r="Q470" t="s">
        <v>31</v>
      </c>
      <c r="R470" t="s">
        <v>54</v>
      </c>
    </row>
    <row r="471" spans="1:18">
      <c r="A471" s="38">
        <v>45161</v>
      </c>
      <c r="B471" s="8" t="s">
        <v>462</v>
      </c>
      <c r="C471" s="8" t="s">
        <v>463</v>
      </c>
      <c r="D471" s="8" t="s">
        <v>111</v>
      </c>
      <c r="E471" s="8" t="s">
        <v>21</v>
      </c>
      <c r="F471" s="13">
        <v>4.58333333333333</v>
      </c>
      <c r="G471" s="8" t="s">
        <v>1230</v>
      </c>
      <c r="H471" s="8" t="s">
        <v>196</v>
      </c>
      <c r="I471" s="8" t="s">
        <v>99</v>
      </c>
      <c r="J471" s="8" t="s">
        <v>100</v>
      </c>
      <c r="K471" s="8">
        <v>1750</v>
      </c>
      <c r="L471" s="11">
        <v>1750</v>
      </c>
      <c r="M471" s="8" t="s">
        <v>66</v>
      </c>
      <c r="N471" s="8" t="s">
        <v>13</v>
      </c>
      <c r="O471" s="8" t="s">
        <v>1231</v>
      </c>
      <c r="P471" t="s">
        <v>28</v>
      </c>
      <c r="Q471" t="s">
        <v>111</v>
      </c>
      <c r="R471" t="s">
        <v>28</v>
      </c>
    </row>
    <row r="472" spans="1:18">
      <c r="A472" s="38">
        <v>45131</v>
      </c>
      <c r="B472" s="8" t="s">
        <v>462</v>
      </c>
      <c r="C472" s="8" t="s">
        <v>463</v>
      </c>
      <c r="D472" s="8" t="s">
        <v>111</v>
      </c>
      <c r="E472" s="8" t="s">
        <v>21</v>
      </c>
      <c r="F472" s="13">
        <v>6.23333333333333</v>
      </c>
      <c r="G472" s="8" t="s">
        <v>1232</v>
      </c>
      <c r="H472" s="8" t="s">
        <v>447</v>
      </c>
      <c r="I472" s="8" t="s">
        <v>176</v>
      </c>
      <c r="J472" s="8" t="s">
        <v>100</v>
      </c>
      <c r="K472" s="8">
        <v>1783</v>
      </c>
      <c r="L472" s="11">
        <v>1783</v>
      </c>
      <c r="M472" s="8" t="s">
        <v>75</v>
      </c>
      <c r="N472" s="8" t="s">
        <v>13</v>
      </c>
      <c r="O472" s="8" t="s">
        <v>1233</v>
      </c>
      <c r="P472" t="s">
        <v>28</v>
      </c>
      <c r="Q472" t="s">
        <v>111</v>
      </c>
    </row>
    <row r="473" spans="1:18">
      <c r="A473" s="38">
        <v>45261</v>
      </c>
      <c r="B473" s="8" t="s">
        <v>462</v>
      </c>
      <c r="C473" s="8" t="s">
        <v>463</v>
      </c>
      <c r="D473" s="8" t="s">
        <v>111</v>
      </c>
      <c r="E473" s="8" t="s">
        <v>21</v>
      </c>
      <c r="F473" s="13">
        <v>5.31666666666667</v>
      </c>
      <c r="G473" s="8" t="s">
        <v>1234</v>
      </c>
      <c r="H473" s="8" t="s">
        <v>109</v>
      </c>
      <c r="I473" s="8" t="s">
        <v>87</v>
      </c>
      <c r="J473" s="8" t="s">
        <v>88</v>
      </c>
      <c r="K473" s="8">
        <v>1300</v>
      </c>
      <c r="L473" s="11">
        <v>1300</v>
      </c>
      <c r="M473" s="8" t="s">
        <v>66</v>
      </c>
      <c r="N473" s="8" t="s">
        <v>13</v>
      </c>
      <c r="O473" s="8" t="s">
        <v>450</v>
      </c>
      <c r="P473" t="s">
        <v>30</v>
      </c>
      <c r="Q473" t="s">
        <v>31</v>
      </c>
      <c r="R473" t="s">
        <v>54</v>
      </c>
    </row>
    <row r="474" spans="1:18">
      <c r="A474" s="38">
        <v>44774</v>
      </c>
      <c r="B474" s="8" t="s">
        <v>1106</v>
      </c>
      <c r="C474" s="8" t="s">
        <v>56</v>
      </c>
      <c r="D474" s="8" t="s">
        <v>188</v>
      </c>
      <c r="E474" s="8" t="s">
        <v>21</v>
      </c>
      <c r="F474" s="13">
        <v>5.13333333333333</v>
      </c>
      <c r="G474" s="8" t="s">
        <v>1235</v>
      </c>
      <c r="H474" s="8" t="s">
        <v>477</v>
      </c>
      <c r="I474" s="8" t="s">
        <v>477</v>
      </c>
      <c r="J474" s="8" t="s">
        <v>50</v>
      </c>
      <c r="K474" s="8">
        <v>2829</v>
      </c>
      <c r="L474" s="11">
        <v>2829</v>
      </c>
      <c r="M474" s="8" t="s">
        <v>43</v>
      </c>
      <c r="N474" s="8" t="s">
        <v>13</v>
      </c>
      <c r="O474" s="8" t="s">
        <v>1236</v>
      </c>
      <c r="P474" t="s">
        <v>28</v>
      </c>
      <c r="Q474" t="s">
        <v>39</v>
      </c>
      <c r="R474" t="s">
        <v>28</v>
      </c>
    </row>
    <row r="475" spans="1:18">
      <c r="A475" s="38">
        <v>44896</v>
      </c>
      <c r="B475" s="8" t="s">
        <v>639</v>
      </c>
      <c r="C475" s="8" t="s">
        <v>83</v>
      </c>
      <c r="D475" s="8" t="s">
        <v>68</v>
      </c>
      <c r="E475" s="8" t="s">
        <v>21</v>
      </c>
      <c r="F475" s="10">
        <v>9.42222222222222</v>
      </c>
      <c r="G475" s="8" t="s">
        <v>1237</v>
      </c>
      <c r="H475" s="8" t="s">
        <v>171</v>
      </c>
      <c r="I475" s="8" t="s">
        <v>171</v>
      </c>
      <c r="J475" s="8" t="s">
        <v>50</v>
      </c>
      <c r="K475" s="8">
        <v>737.52</v>
      </c>
      <c r="L475" s="11">
        <v>737.52</v>
      </c>
      <c r="M475" s="8" t="s">
        <v>245</v>
      </c>
      <c r="N475" s="8" t="s">
        <v>52</v>
      </c>
      <c r="O475" s="8" t="s">
        <v>814</v>
      </c>
      <c r="P475" t="s">
        <v>72</v>
      </c>
      <c r="Q475" t="s">
        <v>39</v>
      </c>
      <c r="R475" t="s">
        <v>84</v>
      </c>
    </row>
    <row r="476" spans="1:18">
      <c r="A476" s="38">
        <v>44605</v>
      </c>
      <c r="B476" s="8" t="s">
        <v>993</v>
      </c>
      <c r="C476" s="8" t="s">
        <v>420</v>
      </c>
      <c r="D476" s="8" t="s">
        <v>39</v>
      </c>
      <c r="E476" s="8" t="s">
        <v>32</v>
      </c>
      <c r="F476" s="13">
        <v>8.98333333333333</v>
      </c>
      <c r="G476" s="8" t="s">
        <v>1238</v>
      </c>
      <c r="H476" s="8" t="s">
        <v>165</v>
      </c>
      <c r="I476" s="8" t="s">
        <v>165</v>
      </c>
      <c r="J476" s="8" t="s">
        <v>50</v>
      </c>
      <c r="K476" s="8">
        <v>1200</v>
      </c>
      <c r="L476" s="11">
        <v>1200</v>
      </c>
      <c r="M476" s="8" t="s">
        <v>51</v>
      </c>
      <c r="N476" s="8" t="s">
        <v>13</v>
      </c>
      <c r="O476" s="8" t="s">
        <v>1239</v>
      </c>
      <c r="P476" t="s">
        <v>797</v>
      </c>
      <c r="Q476" t="s">
        <v>151</v>
      </c>
      <c r="R476" t="s">
        <v>84</v>
      </c>
    </row>
    <row r="477" spans="1:18">
      <c r="A477" s="38">
        <v>45477</v>
      </c>
      <c r="B477" s="8" t="s">
        <v>462</v>
      </c>
      <c r="C477" s="8" t="s">
        <v>463</v>
      </c>
      <c r="D477" s="8" t="s">
        <v>111</v>
      </c>
      <c r="E477" s="8" t="s">
        <v>21</v>
      </c>
      <c r="F477" s="13">
        <v>5.31666666666667</v>
      </c>
      <c r="G477" s="8" t="s">
        <v>1240</v>
      </c>
      <c r="H477" s="8" t="s">
        <v>564</v>
      </c>
      <c r="I477" s="8" t="s">
        <v>200</v>
      </c>
      <c r="J477" s="8" t="s">
        <v>201</v>
      </c>
      <c r="K477" s="8">
        <v>1535</v>
      </c>
      <c r="L477" s="11">
        <v>1535</v>
      </c>
      <c r="M477" s="8" t="s">
        <v>51</v>
      </c>
      <c r="N477" s="8" t="s">
        <v>13</v>
      </c>
      <c r="O477" s="8" t="s">
        <v>1241</v>
      </c>
      <c r="P477" t="s">
        <v>28</v>
      </c>
      <c r="Q477" t="s">
        <v>39</v>
      </c>
      <c r="R477" t="s">
        <v>28</v>
      </c>
    </row>
    <row r="478" spans="1:18">
      <c r="A478" s="38">
        <v>45442</v>
      </c>
      <c r="B478" s="8" t="s">
        <v>462</v>
      </c>
      <c r="C478" s="8" t="s">
        <v>463</v>
      </c>
      <c r="D478" s="8" t="s">
        <v>111</v>
      </c>
      <c r="E478" s="8" t="s">
        <v>21</v>
      </c>
      <c r="F478" s="13">
        <v>4.76666666666667</v>
      </c>
      <c r="G478" s="8" t="s">
        <v>1242</v>
      </c>
      <c r="H478" s="8" t="s">
        <v>243</v>
      </c>
      <c r="I478" s="8" t="s">
        <v>244</v>
      </c>
      <c r="J478" s="8" t="s">
        <v>88</v>
      </c>
      <c r="K478" s="8">
        <v>2000</v>
      </c>
      <c r="L478" s="11">
        <v>2000</v>
      </c>
      <c r="M478" s="8" t="s">
        <v>26</v>
      </c>
      <c r="N478" s="8" t="s">
        <v>13</v>
      </c>
      <c r="O478" s="8" t="s">
        <v>1243</v>
      </c>
      <c r="P478" t="s">
        <v>28</v>
      </c>
      <c r="Q478" t="s">
        <v>352</v>
      </c>
      <c r="R478" t="s">
        <v>28</v>
      </c>
    </row>
  </sheetData>
  <conditionalFormatting sqref="B$1:B$1048576">
    <cfRule type="duplicateValues" dxfId="0" priority="27"/>
  </conditionalFormatting>
  <conditionalFormatting sqref="G2:G1048576">
    <cfRule type="duplicateValues" dxfId="0" priority="32"/>
  </conditionalFormatting>
  <pageMargins left="0.7" right="0.7" top="0.75" bottom="0.75" header="0.3" footer="0.3"/>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108"/>
  <sheetViews>
    <sheetView zoomScale="115" zoomScaleNormal="115" topLeftCell="A84" workbookViewId="0">
      <selection activeCell="F33" sqref="F33"/>
    </sheetView>
  </sheetViews>
  <sheetFormatPr defaultColWidth="9" defaultRowHeight="14"/>
  <cols>
    <col min="9" max="9" width="12.6333333333333"/>
    <col min="19" max="19" width="12.6333333333333"/>
    <col min="28" max="28" width="12.6333333333333"/>
  </cols>
  <sheetData>
    <row r="1" s="1" customFormat="1" ht="70" spans="1:53 16366:16384">
      <c r="A1" s="2" t="s">
        <v>1244</v>
      </c>
      <c r="B1" s="3" t="s">
        <v>1245</v>
      </c>
      <c r="C1" s="4" t="s">
        <v>1</v>
      </c>
      <c r="D1" s="5" t="s">
        <v>1246</v>
      </c>
      <c r="E1" s="5" t="s">
        <v>1247</v>
      </c>
      <c r="F1" s="4" t="s">
        <v>1248</v>
      </c>
      <c r="G1" s="4" t="s">
        <v>4</v>
      </c>
      <c r="H1" s="4" t="s">
        <v>5</v>
      </c>
      <c r="I1" s="6" t="s">
        <v>6</v>
      </c>
      <c r="J1" s="6" t="s">
        <v>7</v>
      </c>
      <c r="K1" s="6" t="s">
        <v>8</v>
      </c>
      <c r="L1" s="6" t="s">
        <v>9</v>
      </c>
      <c r="M1" s="4" t="s">
        <v>10</v>
      </c>
      <c r="N1" s="4" t="s">
        <v>1249</v>
      </c>
      <c r="O1" s="4" t="s">
        <v>11</v>
      </c>
      <c r="P1" s="4" t="s">
        <v>12</v>
      </c>
      <c r="Q1" s="31" t="s">
        <v>13</v>
      </c>
      <c r="R1" s="4" t="s">
        <v>1250</v>
      </c>
      <c r="S1" s="4" t="s">
        <v>1251</v>
      </c>
      <c r="T1" s="4" t="s">
        <v>1252</v>
      </c>
      <c r="U1" s="4" t="s">
        <v>1253</v>
      </c>
      <c r="V1" s="4" t="s">
        <v>1254</v>
      </c>
      <c r="W1" s="4" t="s">
        <v>1255</v>
      </c>
      <c r="X1" s="7" t="s">
        <v>1256</v>
      </c>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XEL1"/>
      <c r="XEM1"/>
      <c r="XEN1"/>
      <c r="XEO1"/>
      <c r="XEP1"/>
      <c r="XEQ1"/>
      <c r="XER1"/>
      <c r="XES1"/>
      <c r="XET1"/>
      <c r="XEU1"/>
      <c r="XEV1"/>
      <c r="XEW1"/>
      <c r="XEX1"/>
      <c r="XEY1"/>
      <c r="XEZ1"/>
      <c r="XFA1"/>
      <c r="XFB1"/>
      <c r="XFC1"/>
      <c r="XFD1"/>
    </row>
    <row r="2" spans="1:53 16366:16384">
      <c r="A2" s="8">
        <v>4982</v>
      </c>
      <c r="B2" s="9">
        <v>45036</v>
      </c>
      <c r="C2" s="8" t="s">
        <v>284</v>
      </c>
      <c r="D2" s="8">
        <v>121.52347150619</v>
      </c>
      <c r="E2" s="8">
        <v>31.2292266265612</v>
      </c>
      <c r="F2" s="8" t="s">
        <v>1257</v>
      </c>
      <c r="G2" s="8" t="s">
        <v>32</v>
      </c>
      <c r="H2" s="13">
        <v>10.5416666666667</v>
      </c>
      <c r="I2" s="8" t="s">
        <v>285</v>
      </c>
      <c r="J2" s="8" t="s">
        <v>286</v>
      </c>
      <c r="K2" s="8" t="s">
        <v>24</v>
      </c>
      <c r="L2" s="8" t="s">
        <v>25</v>
      </c>
      <c r="M2" s="8">
        <v>2300</v>
      </c>
      <c r="N2" s="8" t="s">
        <v>1258</v>
      </c>
      <c r="O2" s="11">
        <v>2300</v>
      </c>
      <c r="P2" s="8" t="s">
        <v>43</v>
      </c>
      <c r="Q2" s="8" t="s">
        <v>13</v>
      </c>
      <c r="R2" s="8" t="s">
        <v>1259</v>
      </c>
      <c r="S2" s="12" t="s">
        <v>1260</v>
      </c>
      <c r="T2" s="8" t="s">
        <v>1261</v>
      </c>
      <c r="U2" s="8">
        <v>121.55850194012</v>
      </c>
      <c r="V2" s="8">
        <v>31.208419356645</v>
      </c>
      <c r="W2" s="8" t="s">
        <v>1262</v>
      </c>
      <c r="X2">
        <v>5.617</v>
      </c>
    </row>
    <row r="3" spans="1:53 16366:16384">
      <c r="A3" s="8">
        <v>5093</v>
      </c>
      <c r="B3" s="9">
        <v>45078</v>
      </c>
      <c r="C3" s="8" t="s">
        <v>639</v>
      </c>
      <c r="D3" s="8">
        <v>121.476238880865</v>
      </c>
      <c r="E3" s="8">
        <v>31.1983117655287</v>
      </c>
      <c r="F3" s="8" t="s">
        <v>1263</v>
      </c>
      <c r="G3" s="8" t="s">
        <v>21</v>
      </c>
      <c r="H3" s="10">
        <v>9.23611111111111</v>
      </c>
      <c r="I3" s="8" t="s">
        <v>652</v>
      </c>
      <c r="J3" s="8" t="s">
        <v>185</v>
      </c>
      <c r="K3" s="8" t="s">
        <v>185</v>
      </c>
      <c r="L3" s="8" t="s">
        <v>25</v>
      </c>
      <c r="M3" s="8">
        <v>500</v>
      </c>
      <c r="N3" s="8" t="s">
        <v>1258</v>
      </c>
      <c r="O3" s="11">
        <v>500</v>
      </c>
      <c r="P3" s="8" t="s">
        <v>66</v>
      </c>
      <c r="Q3" s="8" t="s">
        <v>13</v>
      </c>
      <c r="R3" s="8" t="s">
        <v>1264</v>
      </c>
      <c r="S3" s="12" t="s">
        <v>1265</v>
      </c>
      <c r="T3" s="8" t="s">
        <v>1266</v>
      </c>
      <c r="U3" s="8">
        <v>121.491522236513</v>
      </c>
      <c r="V3" s="8">
        <v>31.2484877414991</v>
      </c>
      <c r="W3" s="8" t="s">
        <v>1262</v>
      </c>
      <c r="X3">
        <v>7.565</v>
      </c>
    </row>
    <row r="4" spans="1:53 16366:16384">
      <c r="A4" s="8">
        <v>5134</v>
      </c>
      <c r="B4" s="9">
        <v>45078</v>
      </c>
      <c r="C4" s="8" t="s">
        <v>639</v>
      </c>
      <c r="D4" s="8">
        <v>121.476238880865</v>
      </c>
      <c r="E4" s="8">
        <v>31.1983117655287</v>
      </c>
      <c r="F4" s="8" t="s">
        <v>1263</v>
      </c>
      <c r="G4" s="8" t="s">
        <v>21</v>
      </c>
      <c r="H4" s="13">
        <v>8.70833333333333</v>
      </c>
      <c r="I4" s="8" t="s">
        <v>649</v>
      </c>
      <c r="J4" s="8" t="s">
        <v>185</v>
      </c>
      <c r="K4" s="8" t="s">
        <v>185</v>
      </c>
      <c r="L4" s="8" t="s">
        <v>25</v>
      </c>
      <c r="M4" s="8">
        <v>500</v>
      </c>
      <c r="N4" s="8" t="s">
        <v>1258</v>
      </c>
      <c r="O4" s="11">
        <v>500</v>
      </c>
      <c r="P4" s="8" t="s">
        <v>75</v>
      </c>
      <c r="Q4" s="8" t="s">
        <v>13</v>
      </c>
      <c r="R4" s="8" t="s">
        <v>1267</v>
      </c>
      <c r="S4" s="12" t="s">
        <v>1267</v>
      </c>
      <c r="T4" s="8" t="s">
        <v>988</v>
      </c>
      <c r="U4" s="8">
        <v>121.480239898951</v>
      </c>
      <c r="V4" s="8">
        <v>31.2533556789931</v>
      </c>
      <c r="W4" s="8" t="s">
        <v>1262</v>
      </c>
      <c r="X4">
        <v>7.553</v>
      </c>
    </row>
    <row r="5" spans="1:53 16366:16384">
      <c r="A5" s="8">
        <v>5125</v>
      </c>
      <c r="B5" s="9">
        <v>45078</v>
      </c>
      <c r="C5" s="8" t="s">
        <v>63</v>
      </c>
      <c r="D5" s="8">
        <v>121.4695908</v>
      </c>
      <c r="E5" s="8">
        <v>31.1724856</v>
      </c>
      <c r="F5" s="8" t="s">
        <v>1268</v>
      </c>
      <c r="G5" s="8" t="s">
        <v>21</v>
      </c>
      <c r="H5" s="13">
        <v>5.5</v>
      </c>
      <c r="I5" s="8" t="s">
        <v>69</v>
      </c>
      <c r="J5" s="8" t="s">
        <v>42</v>
      </c>
      <c r="K5" s="8" t="s">
        <v>42</v>
      </c>
      <c r="L5" s="8" t="s">
        <v>25</v>
      </c>
      <c r="M5" s="8">
        <v>400</v>
      </c>
      <c r="N5" s="8" t="s">
        <v>1258</v>
      </c>
      <c r="O5" s="11">
        <v>400</v>
      </c>
      <c r="P5" s="8" t="s">
        <v>51</v>
      </c>
      <c r="Q5" s="8" t="s">
        <v>13</v>
      </c>
      <c r="R5" s="8" t="s">
        <v>1269</v>
      </c>
      <c r="S5" s="12" t="s">
        <v>1270</v>
      </c>
      <c r="T5" s="8" t="s">
        <v>1271</v>
      </c>
      <c r="U5" s="8">
        <v>121.516397281833</v>
      </c>
      <c r="V5" s="8">
        <v>31.2012998821903</v>
      </c>
      <c r="W5" s="8" t="s">
        <v>1262</v>
      </c>
      <c r="X5">
        <v>6.199</v>
      </c>
    </row>
    <row r="6" spans="1:53 16366:16384">
      <c r="A6" s="8">
        <v>5135</v>
      </c>
      <c r="B6" s="9">
        <v>45078</v>
      </c>
      <c r="C6" s="8" t="s">
        <v>1009</v>
      </c>
      <c r="D6" s="8">
        <v>121.4592</v>
      </c>
      <c r="E6" s="8">
        <v>31.1628</v>
      </c>
      <c r="F6" s="8" t="s">
        <v>1272</v>
      </c>
      <c r="G6" s="8" t="s">
        <v>21</v>
      </c>
      <c r="H6" s="13">
        <v>6.14166666666667</v>
      </c>
      <c r="I6" s="8" t="s">
        <v>1016</v>
      </c>
      <c r="J6" s="8" t="s">
        <v>59</v>
      </c>
      <c r="K6" s="8" t="s">
        <v>59</v>
      </c>
      <c r="L6" s="8" t="s">
        <v>25</v>
      </c>
      <c r="M6" s="8">
        <v>400</v>
      </c>
      <c r="N6" s="8" t="s">
        <v>1258</v>
      </c>
      <c r="O6" s="11">
        <v>400</v>
      </c>
      <c r="P6" s="8" t="s">
        <v>66</v>
      </c>
      <c r="Q6" s="8" t="s">
        <v>13</v>
      </c>
      <c r="R6" s="8" t="s">
        <v>1273</v>
      </c>
      <c r="S6" s="12" t="s">
        <v>1273</v>
      </c>
      <c r="T6" s="8" t="s">
        <v>1274</v>
      </c>
      <c r="U6" s="8">
        <v>121.493189959344</v>
      </c>
      <c r="V6" s="8">
        <v>31.2937232557409</v>
      </c>
      <c r="W6" s="8" t="s">
        <v>1262</v>
      </c>
      <c r="X6">
        <v>18.466</v>
      </c>
    </row>
    <row r="7" spans="1:53 16366:16384">
      <c r="A7" s="8">
        <v>5193</v>
      </c>
      <c r="B7" s="9">
        <v>45108</v>
      </c>
      <c r="C7" s="8" t="s">
        <v>1021</v>
      </c>
      <c r="D7" s="8">
        <v>121.4957049</v>
      </c>
      <c r="E7" s="8">
        <v>31.23579021</v>
      </c>
      <c r="F7" s="8" t="s">
        <v>1275</v>
      </c>
      <c r="G7" s="8" t="s">
        <v>32</v>
      </c>
      <c r="H7" s="10">
        <v>9.72</v>
      </c>
      <c r="I7" s="8" t="s">
        <v>1022</v>
      </c>
      <c r="J7" s="8" t="s">
        <v>59</v>
      </c>
      <c r="K7" s="8" t="s">
        <v>59</v>
      </c>
      <c r="L7" s="8" t="s">
        <v>25</v>
      </c>
      <c r="M7" s="8">
        <v>1725.48</v>
      </c>
      <c r="N7" s="8"/>
      <c r="O7" s="11">
        <v>1725.48</v>
      </c>
      <c r="P7" s="8" t="s">
        <v>51</v>
      </c>
      <c r="Q7" s="8" t="s">
        <v>13</v>
      </c>
      <c r="R7" s="8" t="s">
        <v>1276</v>
      </c>
      <c r="S7" s="12" t="s">
        <v>1277</v>
      </c>
      <c r="T7" s="8" t="s">
        <v>1278</v>
      </c>
      <c r="U7" s="8">
        <v>121.597683574725</v>
      </c>
      <c r="V7" s="8">
        <v>31.2029100786282</v>
      </c>
      <c r="W7" s="8" t="s">
        <v>1262</v>
      </c>
      <c r="X7">
        <v>13.292</v>
      </c>
    </row>
    <row r="8" spans="1:53 16366:16384">
      <c r="A8" s="8">
        <v>5293</v>
      </c>
      <c r="B8" s="9">
        <v>45139</v>
      </c>
      <c r="C8" s="8" t="s">
        <v>281</v>
      </c>
      <c r="D8" s="8">
        <v>121.455928321736</v>
      </c>
      <c r="E8" s="8">
        <v>31.163149177406</v>
      </c>
      <c r="F8" s="8" t="s">
        <v>1272</v>
      </c>
      <c r="G8" s="8" t="s">
        <v>21</v>
      </c>
      <c r="H8" s="13">
        <v>6.875</v>
      </c>
      <c r="I8" s="8" t="s">
        <v>851</v>
      </c>
      <c r="J8" s="8" t="s">
        <v>59</v>
      </c>
      <c r="K8" s="8" t="s">
        <v>59</v>
      </c>
      <c r="L8" s="8" t="s">
        <v>25</v>
      </c>
      <c r="M8" s="8">
        <v>1200</v>
      </c>
      <c r="N8" s="8" t="s">
        <v>1258</v>
      </c>
      <c r="O8" s="11">
        <v>1200</v>
      </c>
      <c r="P8" s="8" t="s">
        <v>43</v>
      </c>
      <c r="Q8" s="8" t="s">
        <v>13</v>
      </c>
      <c r="R8" s="8" t="s">
        <v>1279</v>
      </c>
      <c r="S8" s="12" t="s">
        <v>1280</v>
      </c>
      <c r="T8" s="8" t="s">
        <v>1281</v>
      </c>
      <c r="U8" s="8">
        <v>121.41278417107</v>
      </c>
      <c r="V8" s="8">
        <v>31.178324182064</v>
      </c>
      <c r="W8" s="8" t="s">
        <v>1262</v>
      </c>
      <c r="X8">
        <v>6.498</v>
      </c>
    </row>
    <row r="9" spans="1:53 16366:16384">
      <c r="A9" s="8">
        <v>5308</v>
      </c>
      <c r="B9" s="9">
        <v>45156</v>
      </c>
      <c r="C9" s="8" t="s">
        <v>534</v>
      </c>
      <c r="D9" s="8">
        <v>121.501210211933</v>
      </c>
      <c r="E9" s="8">
        <v>31.31049382086</v>
      </c>
      <c r="F9" s="8" t="s">
        <v>1282</v>
      </c>
      <c r="G9" s="8" t="s">
        <v>21</v>
      </c>
      <c r="H9" s="13">
        <v>4.125</v>
      </c>
      <c r="I9" s="8" t="s">
        <v>535</v>
      </c>
      <c r="J9" s="8" t="s">
        <v>59</v>
      </c>
      <c r="K9" s="8" t="s">
        <v>59</v>
      </c>
      <c r="L9" s="8" t="s">
        <v>25</v>
      </c>
      <c r="M9" s="8">
        <v>1500</v>
      </c>
      <c r="N9" s="8" t="s">
        <v>1258</v>
      </c>
      <c r="O9" s="11">
        <v>1500</v>
      </c>
      <c r="P9" s="8" t="s">
        <v>66</v>
      </c>
      <c r="Q9" s="8" t="s">
        <v>52</v>
      </c>
      <c r="R9" s="8" t="s">
        <v>1283</v>
      </c>
      <c r="S9" s="12" t="s">
        <v>1284</v>
      </c>
      <c r="T9" s="8" t="s">
        <v>1285</v>
      </c>
      <c r="U9" s="8">
        <v>121.505210425333</v>
      </c>
      <c r="V9" s="8">
        <v>31.3107424655206</v>
      </c>
      <c r="W9" s="8" t="s">
        <v>1262</v>
      </c>
      <c r="X9">
        <v>0.52</v>
      </c>
    </row>
    <row r="10" spans="1:53 16366:16384">
      <c r="A10" s="8">
        <v>5441</v>
      </c>
      <c r="B10" s="9">
        <v>45214</v>
      </c>
      <c r="C10" s="8" t="s">
        <v>272</v>
      </c>
      <c r="D10" s="8">
        <v>121.4973757</v>
      </c>
      <c r="E10" s="8">
        <v>31.26621727</v>
      </c>
      <c r="F10" s="8" t="s">
        <v>1286</v>
      </c>
      <c r="G10" s="8" t="s">
        <v>21</v>
      </c>
      <c r="H10" s="13">
        <v>5.95833333333333</v>
      </c>
      <c r="I10" s="8" t="s">
        <v>975</v>
      </c>
      <c r="J10" s="8" t="s">
        <v>182</v>
      </c>
      <c r="K10" s="8" t="s">
        <v>182</v>
      </c>
      <c r="L10" s="8" t="s">
        <v>25</v>
      </c>
      <c r="M10" s="8">
        <v>1100</v>
      </c>
      <c r="N10" s="8" t="s">
        <v>1258</v>
      </c>
      <c r="O10" s="11">
        <v>1100</v>
      </c>
      <c r="P10" s="8" t="s">
        <v>66</v>
      </c>
      <c r="Q10" s="8" t="s">
        <v>13</v>
      </c>
      <c r="R10" s="8" t="s">
        <v>1287</v>
      </c>
      <c r="S10" s="12" t="s">
        <v>1288</v>
      </c>
      <c r="T10" s="8" t="s">
        <v>1288</v>
      </c>
      <c r="U10" s="8">
        <v>121.481584837312</v>
      </c>
      <c r="V10" s="8">
        <v>31.2499568892448</v>
      </c>
      <c r="W10" s="8" t="s">
        <v>1262</v>
      </c>
      <c r="X10">
        <v>3.056</v>
      </c>
    </row>
    <row r="11" spans="1:53 16366:16384">
      <c r="A11" s="8">
        <v>5593</v>
      </c>
      <c r="B11" s="9">
        <v>45289</v>
      </c>
      <c r="C11" s="8" t="s">
        <v>132</v>
      </c>
      <c r="D11" s="8">
        <v>121.511439731571</v>
      </c>
      <c r="E11" s="8">
        <v>31.2604033079711</v>
      </c>
      <c r="F11" s="8" t="s">
        <v>1289</v>
      </c>
      <c r="G11" s="8" t="s">
        <v>21</v>
      </c>
      <c r="H11" s="13">
        <v>5.04166666666667</v>
      </c>
      <c r="I11" s="8" t="s">
        <v>135</v>
      </c>
      <c r="J11" s="8" t="s">
        <v>136</v>
      </c>
      <c r="K11" s="8" t="s">
        <v>137</v>
      </c>
      <c r="L11" s="8" t="s">
        <v>25</v>
      </c>
      <c r="M11" s="8">
        <v>2015</v>
      </c>
      <c r="N11" s="8" t="s">
        <v>1258</v>
      </c>
      <c r="O11" s="11">
        <v>2015</v>
      </c>
      <c r="P11" s="8" t="s">
        <v>66</v>
      </c>
      <c r="Q11" s="8" t="s">
        <v>52</v>
      </c>
      <c r="R11" s="8" t="s">
        <v>1290</v>
      </c>
      <c r="S11" s="12" t="s">
        <v>1291</v>
      </c>
      <c r="T11" s="8" t="s">
        <v>1292</v>
      </c>
      <c r="U11" s="8">
        <v>121.54769955291</v>
      </c>
      <c r="V11" s="8">
        <v>31.2272828099641</v>
      </c>
      <c r="W11" s="8" t="s">
        <v>1262</v>
      </c>
      <c r="X11">
        <v>6.639</v>
      </c>
    </row>
    <row r="12" spans="1:53 16366:16384">
      <c r="A12" s="8">
        <v>4754</v>
      </c>
      <c r="B12" s="9">
        <v>44927</v>
      </c>
      <c r="C12" s="8" t="s">
        <v>1187</v>
      </c>
      <c r="D12" s="8">
        <v>121.4447704</v>
      </c>
      <c r="E12" s="8">
        <v>31.22578139</v>
      </c>
      <c r="F12" s="8" t="s">
        <v>1293</v>
      </c>
      <c r="G12" s="8" t="s">
        <v>32</v>
      </c>
      <c r="H12" s="13">
        <v>13.75</v>
      </c>
      <c r="I12" s="8" t="s">
        <v>1191</v>
      </c>
      <c r="J12" s="8" t="s">
        <v>42</v>
      </c>
      <c r="K12" s="8" t="s">
        <v>42</v>
      </c>
      <c r="L12" s="8" t="s">
        <v>25</v>
      </c>
      <c r="M12" s="8">
        <v>1325</v>
      </c>
      <c r="N12" s="8" t="s">
        <v>1258</v>
      </c>
      <c r="O12" s="11">
        <v>1325</v>
      </c>
      <c r="P12" s="8" t="s">
        <v>43</v>
      </c>
      <c r="Q12" s="8" t="s">
        <v>52</v>
      </c>
      <c r="R12" s="8" t="s">
        <v>1294</v>
      </c>
      <c r="S12" s="12" t="s">
        <v>1295</v>
      </c>
      <c r="T12" s="8" t="s">
        <v>1296</v>
      </c>
      <c r="U12" s="8">
        <v>121.458122418281</v>
      </c>
      <c r="V12" s="8">
        <v>31.2311049072385</v>
      </c>
      <c r="W12" s="8" t="s">
        <v>32</v>
      </c>
      <c r="X12">
        <v>2.13</v>
      </c>
    </row>
    <row r="13" spans="1:53 16366:16384">
      <c r="A13" s="8">
        <v>4777</v>
      </c>
      <c r="B13" s="9">
        <v>44946</v>
      </c>
      <c r="C13" s="8" t="s">
        <v>459</v>
      </c>
      <c r="D13" s="8">
        <v>121.5021278</v>
      </c>
      <c r="E13" s="8">
        <v>31.24321741</v>
      </c>
      <c r="F13" s="8" t="s">
        <v>1275</v>
      </c>
      <c r="G13" s="8" t="s">
        <v>32</v>
      </c>
      <c r="H13" s="13">
        <v>7.33333333333333</v>
      </c>
      <c r="I13" s="8" t="s">
        <v>846</v>
      </c>
      <c r="J13" s="8" t="s">
        <v>185</v>
      </c>
      <c r="K13" s="8" t="s">
        <v>185</v>
      </c>
      <c r="L13" s="8" t="s">
        <v>25</v>
      </c>
      <c r="M13" s="8">
        <v>750</v>
      </c>
      <c r="N13" s="8" t="s">
        <v>1258</v>
      </c>
      <c r="O13" s="11">
        <v>750</v>
      </c>
      <c r="P13" s="8" t="s">
        <v>43</v>
      </c>
      <c r="Q13" s="8" t="s">
        <v>13</v>
      </c>
      <c r="R13" s="8" t="s">
        <v>1297</v>
      </c>
      <c r="S13" s="12" t="s">
        <v>1298</v>
      </c>
      <c r="T13" s="8" t="s">
        <v>1299</v>
      </c>
      <c r="U13" s="8">
        <v>121.426663381846</v>
      </c>
      <c r="V13" s="8">
        <v>31.195403590413</v>
      </c>
      <c r="W13" s="8" t="s">
        <v>32</v>
      </c>
      <c r="X13">
        <v>10.132</v>
      </c>
    </row>
    <row r="14" spans="1:53 16366:16384">
      <c r="A14" s="8">
        <v>4910</v>
      </c>
      <c r="B14" s="9">
        <v>44986</v>
      </c>
      <c r="C14" s="8" t="s">
        <v>380</v>
      </c>
      <c r="D14" s="8">
        <v>121.4775948</v>
      </c>
      <c r="E14" s="8">
        <v>31.16000255</v>
      </c>
      <c r="F14" s="8" t="s">
        <v>1300</v>
      </c>
      <c r="G14" s="8" t="s">
        <v>21</v>
      </c>
      <c r="H14" s="14">
        <v>8.4</v>
      </c>
      <c r="I14" s="8" t="s">
        <v>550</v>
      </c>
      <c r="J14" s="8" t="s">
        <v>42</v>
      </c>
      <c r="K14" s="8" t="s">
        <v>42</v>
      </c>
      <c r="L14" s="8" t="s">
        <v>25</v>
      </c>
      <c r="M14" s="8">
        <v>197.98</v>
      </c>
      <c r="N14" s="8"/>
      <c r="O14" s="11">
        <v>197.98</v>
      </c>
      <c r="P14" s="8" t="s">
        <v>245</v>
      </c>
      <c r="Q14" s="8" t="s">
        <v>13</v>
      </c>
      <c r="R14" s="8" t="s">
        <v>1301</v>
      </c>
      <c r="S14" s="12" t="s">
        <v>1302</v>
      </c>
      <c r="T14" s="8" t="s">
        <v>1303</v>
      </c>
      <c r="U14" s="8">
        <v>121.4979182084</v>
      </c>
      <c r="V14" s="8">
        <v>31.2235596727701</v>
      </c>
      <c r="W14" s="8" t="s">
        <v>32</v>
      </c>
      <c r="X14">
        <v>9.744</v>
      </c>
    </row>
    <row r="15" spans="1:53 16366:16384">
      <c r="A15" s="8">
        <v>4892</v>
      </c>
      <c r="B15" s="9">
        <v>44996</v>
      </c>
      <c r="C15" s="8" t="s">
        <v>308</v>
      </c>
      <c r="D15" s="8">
        <v>121.497753</v>
      </c>
      <c r="E15" s="8">
        <v>31.23598224</v>
      </c>
      <c r="F15" s="8" t="s">
        <v>1275</v>
      </c>
      <c r="G15" s="8" t="s">
        <v>32</v>
      </c>
      <c r="H15" s="14">
        <v>9.7</v>
      </c>
      <c r="I15" s="8" t="s">
        <v>309</v>
      </c>
      <c r="J15" s="8" t="s">
        <v>59</v>
      </c>
      <c r="K15" s="8" t="s">
        <v>59</v>
      </c>
      <c r="L15" s="8" t="s">
        <v>25</v>
      </c>
      <c r="M15" s="8">
        <v>1237</v>
      </c>
      <c r="N15" s="8" t="s">
        <v>1258</v>
      </c>
      <c r="O15" s="11">
        <v>1237</v>
      </c>
      <c r="P15" s="8" t="s">
        <v>43</v>
      </c>
      <c r="Q15" s="8" t="s">
        <v>52</v>
      </c>
      <c r="R15" s="8" t="s">
        <v>1225</v>
      </c>
      <c r="S15" s="12" t="s">
        <v>1304</v>
      </c>
      <c r="T15" s="8" t="s">
        <v>1305</v>
      </c>
      <c r="U15" s="8">
        <v>121.512231309208</v>
      </c>
      <c r="V15" s="8">
        <v>31.2329133428835</v>
      </c>
      <c r="W15" s="8" t="s">
        <v>32</v>
      </c>
      <c r="X15">
        <v>2.08</v>
      </c>
    </row>
    <row r="16" spans="1:53 16366:16384">
      <c r="A16" s="8">
        <v>4896</v>
      </c>
      <c r="B16" s="9">
        <v>45005</v>
      </c>
      <c r="C16" s="8" t="s">
        <v>370</v>
      </c>
      <c r="D16" s="8">
        <v>121.50570658393</v>
      </c>
      <c r="E16" s="8">
        <v>31.2432277512031</v>
      </c>
      <c r="F16" s="8" t="s">
        <v>1275</v>
      </c>
      <c r="G16" s="8" t="s">
        <v>32</v>
      </c>
      <c r="H16" s="13">
        <v>6.41666666666667</v>
      </c>
      <c r="I16" s="8" t="s">
        <v>778</v>
      </c>
      <c r="J16" s="8" t="s">
        <v>42</v>
      </c>
      <c r="K16" s="8" t="s">
        <v>42</v>
      </c>
      <c r="L16" s="8" t="s">
        <v>25</v>
      </c>
      <c r="M16" s="8">
        <v>5400</v>
      </c>
      <c r="N16" s="8" t="s">
        <v>1258</v>
      </c>
      <c r="O16" s="11">
        <v>5400</v>
      </c>
      <c r="P16" s="8" t="s">
        <v>43</v>
      </c>
      <c r="Q16" s="8" t="s">
        <v>52</v>
      </c>
      <c r="R16" s="8" t="s">
        <v>1306</v>
      </c>
      <c r="S16" s="12" t="s">
        <v>869</v>
      </c>
      <c r="T16" s="8" t="s">
        <v>1307</v>
      </c>
      <c r="U16" s="8">
        <v>121.526253068082</v>
      </c>
      <c r="V16" s="8">
        <v>31.2269159272173</v>
      </c>
      <c r="W16" s="8" t="s">
        <v>32</v>
      </c>
      <c r="X16">
        <v>3.448</v>
      </c>
    </row>
    <row r="17" spans="1:24">
      <c r="A17" s="8">
        <v>4972</v>
      </c>
      <c r="B17" s="9">
        <v>45026</v>
      </c>
      <c r="C17" s="8" t="s">
        <v>1178</v>
      </c>
      <c r="D17" s="8">
        <v>121.4438954243</v>
      </c>
      <c r="E17" s="8">
        <v>31.2397854509</v>
      </c>
      <c r="F17" s="8" t="s">
        <v>1286</v>
      </c>
      <c r="G17" s="8" t="s">
        <v>32</v>
      </c>
      <c r="H17" s="13">
        <v>5.04166666666667</v>
      </c>
      <c r="I17" s="8" t="s">
        <v>1185</v>
      </c>
      <c r="J17" s="8" t="s">
        <v>185</v>
      </c>
      <c r="K17" s="8" t="s">
        <v>185</v>
      </c>
      <c r="L17" s="8" t="s">
        <v>25</v>
      </c>
      <c r="M17" s="8">
        <v>5540</v>
      </c>
      <c r="N17" s="8" t="s">
        <v>1258</v>
      </c>
      <c r="O17" s="11">
        <v>5540</v>
      </c>
      <c r="P17" s="8" t="s">
        <v>51</v>
      </c>
      <c r="Q17" s="8" t="s">
        <v>13</v>
      </c>
      <c r="R17" s="8" t="s">
        <v>1308</v>
      </c>
      <c r="S17" s="12" t="s">
        <v>1309</v>
      </c>
      <c r="T17" s="8" t="s">
        <v>1310</v>
      </c>
      <c r="U17" s="8">
        <v>121.530681352457</v>
      </c>
      <c r="V17" s="8">
        <v>31.2137971734742</v>
      </c>
      <c r="W17" s="8" t="s">
        <v>32</v>
      </c>
      <c r="X17">
        <v>12.005</v>
      </c>
    </row>
    <row r="18" spans="1:24">
      <c r="A18" s="8">
        <v>4975</v>
      </c>
      <c r="B18" s="9">
        <v>45028</v>
      </c>
      <c r="C18" s="8" t="s">
        <v>1311</v>
      </c>
      <c r="D18" s="8">
        <v>121.5025411</v>
      </c>
      <c r="E18" s="8">
        <v>31.25469116</v>
      </c>
      <c r="F18" s="8" t="s">
        <v>1312</v>
      </c>
      <c r="G18" s="8" t="s">
        <v>21</v>
      </c>
      <c r="H18" s="13">
        <v>8.70833333333333</v>
      </c>
      <c r="I18" s="8" t="s">
        <v>633</v>
      </c>
      <c r="J18" s="8" t="s">
        <v>182</v>
      </c>
      <c r="K18" s="8" t="s">
        <v>182</v>
      </c>
      <c r="L18" s="8" t="s">
        <v>25</v>
      </c>
      <c r="M18" s="8">
        <v>2300</v>
      </c>
      <c r="N18" s="8" t="s">
        <v>1258</v>
      </c>
      <c r="O18" s="11">
        <v>2300</v>
      </c>
      <c r="P18" s="8" t="s">
        <v>51</v>
      </c>
      <c r="Q18" s="8" t="s">
        <v>52</v>
      </c>
      <c r="R18" s="8" t="s">
        <v>1313</v>
      </c>
      <c r="S18" s="12" t="s">
        <v>1314</v>
      </c>
      <c r="T18" s="8" t="s">
        <v>1315</v>
      </c>
      <c r="U18" s="8">
        <v>121.499348580931</v>
      </c>
      <c r="V18" s="8">
        <v>31.2357260939103</v>
      </c>
      <c r="W18" s="8" t="s">
        <v>32</v>
      </c>
      <c r="X18">
        <v>3.706</v>
      </c>
    </row>
    <row r="19" spans="1:24">
      <c r="A19" s="8">
        <v>4986</v>
      </c>
      <c r="B19" s="9">
        <v>45044</v>
      </c>
      <c r="C19" s="8" t="s">
        <v>1009</v>
      </c>
      <c r="D19" s="8">
        <v>121.4592</v>
      </c>
      <c r="E19" s="8">
        <v>31.1628</v>
      </c>
      <c r="F19" s="8" t="s">
        <v>1272</v>
      </c>
      <c r="G19" s="8" t="s">
        <v>21</v>
      </c>
      <c r="H19" s="13">
        <v>5.5</v>
      </c>
      <c r="I19" s="8" t="s">
        <v>1014</v>
      </c>
      <c r="J19" s="8" t="s">
        <v>185</v>
      </c>
      <c r="K19" s="8" t="s">
        <v>185</v>
      </c>
      <c r="L19" s="8" t="s">
        <v>25</v>
      </c>
      <c r="M19" s="8">
        <v>1700</v>
      </c>
      <c r="N19" s="8" t="s">
        <v>1258</v>
      </c>
      <c r="O19" s="11">
        <v>1700</v>
      </c>
      <c r="P19" s="8" t="s">
        <v>43</v>
      </c>
      <c r="Q19" s="8" t="s">
        <v>13</v>
      </c>
      <c r="R19" s="8" t="s">
        <v>1316</v>
      </c>
      <c r="S19" s="12" t="s">
        <v>1316</v>
      </c>
      <c r="T19" s="8" t="s">
        <v>1317</v>
      </c>
      <c r="U19" s="8">
        <v>121.426046529978</v>
      </c>
      <c r="V19" s="8">
        <v>31.1894440420544</v>
      </c>
      <c r="W19" s="8" t="s">
        <v>32</v>
      </c>
      <c r="X19">
        <v>5.446</v>
      </c>
    </row>
    <row r="20" spans="1:24">
      <c r="A20" s="8">
        <v>4993</v>
      </c>
      <c r="B20" s="9">
        <v>45047</v>
      </c>
      <c r="C20" s="8" t="s">
        <v>903</v>
      </c>
      <c r="D20" s="8">
        <v>121.417465034612</v>
      </c>
      <c r="E20" s="8">
        <v>31.1997373474495</v>
      </c>
      <c r="F20" s="8" t="s">
        <v>1286</v>
      </c>
      <c r="G20" s="8" t="s">
        <v>32</v>
      </c>
      <c r="H20" s="10">
        <v>7.6</v>
      </c>
      <c r="I20" s="8" t="s">
        <v>250</v>
      </c>
      <c r="J20" s="8" t="s">
        <v>42</v>
      </c>
      <c r="K20" s="8" t="s">
        <v>42</v>
      </c>
      <c r="L20" s="8" t="s">
        <v>25</v>
      </c>
      <c r="M20" s="8">
        <v>414.92</v>
      </c>
      <c r="N20" s="8"/>
      <c r="O20" s="11">
        <v>414.92</v>
      </c>
      <c r="P20" s="8" t="s">
        <v>66</v>
      </c>
      <c r="Q20" s="8" t="s">
        <v>13</v>
      </c>
      <c r="R20" s="8" t="s">
        <v>1306</v>
      </c>
      <c r="S20" s="12" t="s">
        <v>869</v>
      </c>
      <c r="T20" s="8" t="s">
        <v>1307</v>
      </c>
      <c r="U20" s="8">
        <v>121.526253068082</v>
      </c>
      <c r="V20" s="8">
        <v>31.2269159272173</v>
      </c>
      <c r="W20" s="8" t="s">
        <v>32</v>
      </c>
      <c r="X20">
        <v>11.869</v>
      </c>
    </row>
    <row r="21" spans="1:24">
      <c r="A21" s="8">
        <v>5046</v>
      </c>
      <c r="B21" s="9">
        <v>45056</v>
      </c>
      <c r="C21" s="8" t="s">
        <v>281</v>
      </c>
      <c r="D21" s="8">
        <v>121.455928321736</v>
      </c>
      <c r="E21" s="8">
        <v>31.163149177406</v>
      </c>
      <c r="F21" s="8" t="s">
        <v>1272</v>
      </c>
      <c r="G21" s="8" t="s">
        <v>21</v>
      </c>
      <c r="H21" s="13">
        <v>6.41666666666667</v>
      </c>
      <c r="I21" s="8" t="s">
        <v>852</v>
      </c>
      <c r="J21" s="8" t="s">
        <v>185</v>
      </c>
      <c r="K21" s="8" t="s">
        <v>185</v>
      </c>
      <c r="L21" s="8" t="s">
        <v>25</v>
      </c>
      <c r="M21" s="8">
        <v>1000</v>
      </c>
      <c r="N21" s="8" t="s">
        <v>1258</v>
      </c>
      <c r="O21" s="11">
        <v>1000</v>
      </c>
      <c r="P21" s="8" t="s">
        <v>43</v>
      </c>
      <c r="Q21" s="8" t="s">
        <v>13</v>
      </c>
      <c r="R21" s="8" t="s">
        <v>1318</v>
      </c>
      <c r="S21" s="12" t="s">
        <v>1319</v>
      </c>
      <c r="T21" s="8" t="s">
        <v>1320</v>
      </c>
      <c r="U21" s="8">
        <v>121.479827723089</v>
      </c>
      <c r="V21" s="8">
        <v>31.2364936006816</v>
      </c>
      <c r="W21" s="8" t="s">
        <v>32</v>
      </c>
      <c r="X21">
        <v>10.673</v>
      </c>
    </row>
    <row r="22" spans="1:24">
      <c r="A22" s="8">
        <v>5071</v>
      </c>
      <c r="B22" s="9">
        <v>45072</v>
      </c>
      <c r="C22" s="8" t="s">
        <v>279</v>
      </c>
      <c r="D22" s="8">
        <v>121.5234898</v>
      </c>
      <c r="E22" s="8">
        <v>31.23175762</v>
      </c>
      <c r="F22" s="8" t="s">
        <v>1257</v>
      </c>
      <c r="G22" s="8" t="s">
        <v>32</v>
      </c>
      <c r="H22" s="13">
        <v>7.79166666666667</v>
      </c>
      <c r="I22" s="8" t="s">
        <v>280</v>
      </c>
      <c r="J22" s="8" t="s">
        <v>23</v>
      </c>
      <c r="K22" s="8" t="s">
        <v>24</v>
      </c>
      <c r="L22" s="8" t="s">
        <v>25</v>
      </c>
      <c r="M22" s="8">
        <v>1600</v>
      </c>
      <c r="N22" s="8" t="s">
        <v>1258</v>
      </c>
      <c r="O22" s="11">
        <v>1600</v>
      </c>
      <c r="P22" s="8" t="s">
        <v>51</v>
      </c>
      <c r="Q22" s="8" t="s">
        <v>52</v>
      </c>
      <c r="R22" s="8" t="s">
        <v>1321</v>
      </c>
      <c r="S22" s="12" t="s">
        <v>1322</v>
      </c>
      <c r="T22" s="8" t="s">
        <v>163</v>
      </c>
      <c r="U22" s="8">
        <v>121.50124788241</v>
      </c>
      <c r="V22" s="8">
        <v>31.2373208413298</v>
      </c>
      <c r="W22" s="8" t="s">
        <v>32</v>
      </c>
      <c r="X22">
        <v>3.383</v>
      </c>
    </row>
    <row r="23" spans="1:24">
      <c r="A23" s="8">
        <v>5091</v>
      </c>
      <c r="B23" s="9">
        <v>45078</v>
      </c>
      <c r="C23" s="8" t="s">
        <v>294</v>
      </c>
      <c r="D23" s="8">
        <v>121.522408923176</v>
      </c>
      <c r="E23" s="8">
        <v>31.2295236878688</v>
      </c>
      <c r="F23" s="8" t="s">
        <v>1257</v>
      </c>
      <c r="G23" s="8" t="s">
        <v>32</v>
      </c>
      <c r="H23" s="13">
        <v>10.0833333333333</v>
      </c>
      <c r="I23" s="8" t="s">
        <v>299</v>
      </c>
      <c r="J23" s="8" t="s">
        <v>23</v>
      </c>
      <c r="K23" s="8" t="s">
        <v>24</v>
      </c>
      <c r="L23" s="8" t="s">
        <v>25</v>
      </c>
      <c r="M23" s="8">
        <v>387</v>
      </c>
      <c r="N23" s="8" t="s">
        <v>1258</v>
      </c>
      <c r="O23" s="11">
        <v>387</v>
      </c>
      <c r="P23" s="8" t="s">
        <v>43</v>
      </c>
      <c r="Q23" s="8" t="s">
        <v>13</v>
      </c>
      <c r="R23" s="8" t="s">
        <v>1323</v>
      </c>
      <c r="S23" s="12" t="s">
        <v>1324</v>
      </c>
      <c r="T23" s="8" t="s">
        <v>1325</v>
      </c>
      <c r="U23" s="8">
        <v>121.533672771511</v>
      </c>
      <c r="V23" s="8">
        <v>31.2256145264616</v>
      </c>
      <c r="W23" s="8" t="s">
        <v>32</v>
      </c>
      <c r="X23">
        <v>1.695</v>
      </c>
    </row>
    <row r="24" spans="1:24">
      <c r="A24" s="8">
        <v>5220</v>
      </c>
      <c r="B24" s="9">
        <v>45108</v>
      </c>
      <c r="C24" s="8" t="s">
        <v>281</v>
      </c>
      <c r="D24" s="8">
        <v>121.455928321736</v>
      </c>
      <c r="E24" s="8">
        <v>31.163149177406</v>
      </c>
      <c r="F24" s="8" t="s">
        <v>1272</v>
      </c>
      <c r="G24" s="8" t="s">
        <v>21</v>
      </c>
      <c r="H24" s="10">
        <v>6.1015625</v>
      </c>
      <c r="I24" s="8" t="s">
        <v>857</v>
      </c>
      <c r="J24" s="8" t="s">
        <v>59</v>
      </c>
      <c r="K24" s="8" t="s">
        <v>59</v>
      </c>
      <c r="L24" s="8" t="s">
        <v>25</v>
      </c>
      <c r="M24" s="8">
        <v>2423.97</v>
      </c>
      <c r="N24" s="8"/>
      <c r="O24" s="11">
        <v>2423.97</v>
      </c>
      <c r="P24" s="8" t="s">
        <v>51</v>
      </c>
      <c r="Q24" s="8" t="s">
        <v>13</v>
      </c>
      <c r="R24" s="8" t="s">
        <v>1326</v>
      </c>
      <c r="S24" s="12" t="s">
        <v>1327</v>
      </c>
      <c r="T24" s="8" t="s">
        <v>1328</v>
      </c>
      <c r="U24" s="8">
        <v>121.51208813479</v>
      </c>
      <c r="V24" s="8">
        <v>31.2321104238282</v>
      </c>
      <c r="W24" s="8" t="s">
        <v>32</v>
      </c>
      <c r="X24">
        <v>11.379</v>
      </c>
    </row>
    <row r="25" spans="1:24">
      <c r="A25" s="8">
        <v>5212</v>
      </c>
      <c r="B25" s="9">
        <v>45108</v>
      </c>
      <c r="C25" s="8" t="s">
        <v>1078</v>
      </c>
      <c r="D25" s="8">
        <v>121.4432343</v>
      </c>
      <c r="E25" s="8">
        <v>31.22473667</v>
      </c>
      <c r="F25" s="8" t="s">
        <v>1293</v>
      </c>
      <c r="G25" s="8" t="s">
        <v>32</v>
      </c>
      <c r="H25" s="10">
        <v>12.98</v>
      </c>
      <c r="I25" s="8" t="s">
        <v>1080</v>
      </c>
      <c r="J25" s="8" t="s">
        <v>23</v>
      </c>
      <c r="K25" s="8" t="s">
        <v>24</v>
      </c>
      <c r="L25" s="8" t="s">
        <v>25</v>
      </c>
      <c r="M25" s="8">
        <v>327.13</v>
      </c>
      <c r="N25" s="8"/>
      <c r="O25" s="11">
        <v>327.13</v>
      </c>
      <c r="P25" s="8" t="s">
        <v>51</v>
      </c>
      <c r="Q25" s="8" t="s">
        <v>13</v>
      </c>
      <c r="R25" s="8" t="s">
        <v>1329</v>
      </c>
      <c r="S25" s="12" t="s">
        <v>1330</v>
      </c>
      <c r="T25" s="8" t="s">
        <v>459</v>
      </c>
      <c r="U25" s="8">
        <v>121.502221808899</v>
      </c>
      <c r="V25" s="8">
        <v>31.2432129736323</v>
      </c>
      <c r="W25" s="8" t="s">
        <v>32</v>
      </c>
      <c r="X25">
        <v>7.761</v>
      </c>
    </row>
    <row r="26" spans="1:24">
      <c r="A26" s="8">
        <v>5270</v>
      </c>
      <c r="B26" s="9">
        <v>45139</v>
      </c>
      <c r="C26" s="8" t="s">
        <v>281</v>
      </c>
      <c r="D26" s="8">
        <v>121.455928321736</v>
      </c>
      <c r="E26" s="8">
        <v>31.163149177406</v>
      </c>
      <c r="F26" s="8" t="s">
        <v>1272</v>
      </c>
      <c r="G26" s="8" t="s">
        <v>21</v>
      </c>
      <c r="H26" s="10">
        <v>7.17777777777778</v>
      </c>
      <c r="I26" s="8" t="s">
        <v>849</v>
      </c>
      <c r="J26" s="8" t="s">
        <v>185</v>
      </c>
      <c r="K26" s="8" t="s">
        <v>185</v>
      </c>
      <c r="L26" s="8" t="s">
        <v>25</v>
      </c>
      <c r="M26" s="8">
        <v>1054.31</v>
      </c>
      <c r="N26" s="8"/>
      <c r="O26" s="11">
        <v>1054.31</v>
      </c>
      <c r="P26" s="8" t="s">
        <v>66</v>
      </c>
      <c r="Q26" s="8" t="s">
        <v>13</v>
      </c>
      <c r="R26" s="8" t="s">
        <v>1331</v>
      </c>
      <c r="S26" s="12" t="s">
        <v>1332</v>
      </c>
      <c r="T26" s="8" t="s">
        <v>1333</v>
      </c>
      <c r="U26" s="8">
        <v>121.437016380987</v>
      </c>
      <c r="V26" s="8">
        <v>31.187413531823</v>
      </c>
      <c r="W26" s="8" t="s">
        <v>32</v>
      </c>
      <c r="X26">
        <v>4.054</v>
      </c>
    </row>
    <row r="27" spans="1:24">
      <c r="A27" s="8">
        <v>5363</v>
      </c>
      <c r="B27" s="9">
        <v>45170</v>
      </c>
      <c r="C27" s="8" t="s">
        <v>1203</v>
      </c>
      <c r="D27" s="8">
        <v>121.4714144</v>
      </c>
      <c r="E27" s="8">
        <v>31.2230236</v>
      </c>
      <c r="F27" s="8" t="s">
        <v>1334</v>
      </c>
      <c r="G27" s="8" t="s">
        <v>32</v>
      </c>
      <c r="H27" s="14">
        <v>9.88</v>
      </c>
      <c r="I27" s="8" t="s">
        <v>1206</v>
      </c>
      <c r="J27" s="8" t="s">
        <v>142</v>
      </c>
      <c r="K27" s="8" t="s">
        <v>142</v>
      </c>
      <c r="L27" s="8" t="s">
        <v>25</v>
      </c>
      <c r="M27" s="8">
        <v>1158.67</v>
      </c>
      <c r="N27" s="8" t="s">
        <v>1258</v>
      </c>
      <c r="O27" s="11">
        <v>1158.67</v>
      </c>
      <c r="P27" s="8" t="s">
        <v>43</v>
      </c>
      <c r="Q27" s="8" t="s">
        <v>13</v>
      </c>
      <c r="R27" s="8" t="s">
        <v>1335</v>
      </c>
      <c r="S27" s="12" t="s">
        <v>1336</v>
      </c>
      <c r="T27" s="8" t="s">
        <v>1337</v>
      </c>
      <c r="U27" s="8">
        <v>121.482129512962</v>
      </c>
      <c r="V27" s="8">
        <v>31.2324078869551</v>
      </c>
      <c r="W27" s="8" t="s">
        <v>32</v>
      </c>
      <c r="X27">
        <v>1.64</v>
      </c>
    </row>
    <row r="28" spans="1:24">
      <c r="A28" s="8">
        <v>5356</v>
      </c>
      <c r="B28" s="9">
        <v>45170</v>
      </c>
      <c r="C28" s="8" t="s">
        <v>1338</v>
      </c>
      <c r="D28" s="8">
        <v>121.5301224</v>
      </c>
      <c r="E28" s="8">
        <v>31.21429566</v>
      </c>
      <c r="F28" s="8" t="s">
        <v>1257</v>
      </c>
      <c r="G28" s="8" t="s">
        <v>32</v>
      </c>
      <c r="H28" s="10">
        <v>6.7</v>
      </c>
      <c r="I28" s="8" t="s">
        <v>1153</v>
      </c>
      <c r="J28" s="8" t="s">
        <v>185</v>
      </c>
      <c r="K28" s="8" t="s">
        <v>185</v>
      </c>
      <c r="L28" s="8" t="s">
        <v>25</v>
      </c>
      <c r="M28" s="8">
        <v>1010.15</v>
      </c>
      <c r="N28" s="8" t="s">
        <v>1258</v>
      </c>
      <c r="O28" s="11">
        <v>1010.15</v>
      </c>
      <c r="P28" s="8" t="s">
        <v>66</v>
      </c>
      <c r="Q28" s="8" t="s">
        <v>52</v>
      </c>
      <c r="R28" s="8" t="s">
        <v>1339</v>
      </c>
      <c r="S28" s="12" t="s">
        <v>356</v>
      </c>
      <c r="T28" s="8" t="s">
        <v>1340</v>
      </c>
      <c r="U28" s="8">
        <v>121.529068183789</v>
      </c>
      <c r="V28" s="8">
        <v>31.2264688212649</v>
      </c>
      <c r="W28" s="8" t="s">
        <v>32</v>
      </c>
      <c r="X28">
        <v>2.009</v>
      </c>
    </row>
    <row r="29" spans="1:24">
      <c r="A29" s="8">
        <v>5425</v>
      </c>
      <c r="B29" s="9">
        <v>45200</v>
      </c>
      <c r="C29" s="8" t="s">
        <v>1117</v>
      </c>
      <c r="D29" s="8">
        <v>121.422414606631</v>
      </c>
      <c r="E29" s="8">
        <v>31.2303987759661</v>
      </c>
      <c r="F29" s="8" t="s">
        <v>1286</v>
      </c>
      <c r="G29" s="8" t="s">
        <v>21</v>
      </c>
      <c r="H29" s="10">
        <v>4.58333333333333</v>
      </c>
      <c r="I29" s="8" t="s">
        <v>1118</v>
      </c>
      <c r="J29" s="8" t="s">
        <v>59</v>
      </c>
      <c r="K29" s="8" t="s">
        <v>59</v>
      </c>
      <c r="L29" s="8" t="s">
        <v>25</v>
      </c>
      <c r="M29" s="8">
        <v>1421.48</v>
      </c>
      <c r="N29" s="8" t="s">
        <v>1258</v>
      </c>
      <c r="O29" s="11">
        <v>1421.48</v>
      </c>
      <c r="P29" s="8" t="s">
        <v>26</v>
      </c>
      <c r="Q29" s="8" t="s">
        <v>52</v>
      </c>
      <c r="R29" s="8" t="s">
        <v>1341</v>
      </c>
      <c r="S29" s="12" t="s">
        <v>1342</v>
      </c>
      <c r="T29" s="8" t="s">
        <v>1343</v>
      </c>
      <c r="U29" s="8">
        <v>121.404127201485</v>
      </c>
      <c r="V29" s="8">
        <v>31.2115483311194</v>
      </c>
      <c r="W29" s="8" t="s">
        <v>32</v>
      </c>
      <c r="X29">
        <v>5.661</v>
      </c>
    </row>
    <row r="30" spans="1:24">
      <c r="A30" s="8">
        <v>5531</v>
      </c>
      <c r="B30" s="9">
        <v>45260</v>
      </c>
      <c r="C30" s="8" t="s">
        <v>319</v>
      </c>
      <c r="D30" s="8">
        <v>121.524638350166</v>
      </c>
      <c r="E30" s="8">
        <v>31.2457751214977</v>
      </c>
      <c r="F30" s="8" t="s">
        <v>1344</v>
      </c>
      <c r="G30" s="8" t="s">
        <v>21</v>
      </c>
      <c r="H30" s="13">
        <v>5.86666666666667</v>
      </c>
      <c r="I30" s="8" t="s">
        <v>323</v>
      </c>
      <c r="J30" s="8" t="s">
        <v>42</v>
      </c>
      <c r="K30" s="8" t="s">
        <v>42</v>
      </c>
      <c r="L30" s="8" t="s">
        <v>25</v>
      </c>
      <c r="M30" s="8">
        <v>2000</v>
      </c>
      <c r="N30" s="8" t="s">
        <v>1258</v>
      </c>
      <c r="O30" s="11">
        <v>2000</v>
      </c>
      <c r="P30" s="8" t="s">
        <v>240</v>
      </c>
      <c r="Q30" s="8" t="s">
        <v>52</v>
      </c>
      <c r="R30" s="8" t="s">
        <v>1345</v>
      </c>
      <c r="S30" s="12" t="s">
        <v>1346</v>
      </c>
      <c r="T30" s="8" t="s">
        <v>1347</v>
      </c>
      <c r="U30" s="8">
        <v>121.532011650673</v>
      </c>
      <c r="V30" s="8">
        <v>31.2243146444256</v>
      </c>
      <c r="W30" s="8" t="s">
        <v>32</v>
      </c>
      <c r="X30">
        <v>2.68</v>
      </c>
    </row>
    <row r="31" spans="1:24">
      <c r="A31" s="8">
        <v>5530</v>
      </c>
      <c r="B31" s="9">
        <v>45260</v>
      </c>
      <c r="C31" s="8" t="s">
        <v>1178</v>
      </c>
      <c r="D31" s="8">
        <v>121.4438954243</v>
      </c>
      <c r="E31" s="8">
        <v>31.2397854509</v>
      </c>
      <c r="F31" s="8" t="s">
        <v>1286</v>
      </c>
      <c r="G31" s="8" t="s">
        <v>32</v>
      </c>
      <c r="H31" s="13">
        <v>5.775</v>
      </c>
      <c r="I31" s="8" t="s">
        <v>1183</v>
      </c>
      <c r="J31" s="8" t="s">
        <v>42</v>
      </c>
      <c r="K31" s="8" t="s">
        <v>42</v>
      </c>
      <c r="L31" s="8" t="s">
        <v>25</v>
      </c>
      <c r="M31" s="8">
        <v>700</v>
      </c>
      <c r="N31" s="8" t="s">
        <v>1258</v>
      </c>
      <c r="O31" s="11">
        <v>700</v>
      </c>
      <c r="P31" s="8" t="s">
        <v>51</v>
      </c>
      <c r="Q31" s="8" t="s">
        <v>52</v>
      </c>
      <c r="R31" s="8" t="s">
        <v>1348</v>
      </c>
      <c r="S31" s="12" t="s">
        <v>1349</v>
      </c>
      <c r="T31" s="8" t="s">
        <v>1349</v>
      </c>
      <c r="U31" s="8">
        <v>121.425493565313</v>
      </c>
      <c r="V31" s="8">
        <v>31.2303012293457</v>
      </c>
      <c r="W31" s="8" t="s">
        <v>32</v>
      </c>
      <c r="X31">
        <v>2.795</v>
      </c>
    </row>
    <row r="32" spans="1:24">
      <c r="A32" s="8">
        <v>5547</v>
      </c>
      <c r="B32" s="9">
        <v>45261</v>
      </c>
      <c r="C32" s="8" t="s">
        <v>180</v>
      </c>
      <c r="D32" s="8">
        <v>121.456623924091</v>
      </c>
      <c r="E32" s="8">
        <v>31.239371056045</v>
      </c>
      <c r="F32" s="8" t="s">
        <v>1293</v>
      </c>
      <c r="G32" s="8" t="s">
        <v>32</v>
      </c>
      <c r="H32" s="10">
        <v>6.7</v>
      </c>
      <c r="I32" s="8" t="s">
        <v>184</v>
      </c>
      <c r="J32" s="8" t="s">
        <v>185</v>
      </c>
      <c r="K32" s="8" t="s">
        <v>185</v>
      </c>
      <c r="L32" s="8" t="s">
        <v>25</v>
      </c>
      <c r="M32" s="8">
        <v>4672.6</v>
      </c>
      <c r="N32" s="8" t="s">
        <v>1258</v>
      </c>
      <c r="O32" s="11">
        <v>4672.6</v>
      </c>
      <c r="P32" s="8" t="s">
        <v>66</v>
      </c>
      <c r="Q32" s="8" t="s">
        <v>13</v>
      </c>
      <c r="R32" s="8" t="s">
        <v>1350</v>
      </c>
      <c r="S32" s="12" t="s">
        <v>1351</v>
      </c>
      <c r="T32" s="8" t="s">
        <v>1352</v>
      </c>
      <c r="U32" s="8">
        <v>121.436471475518</v>
      </c>
      <c r="V32" s="8">
        <v>31.2303034970818</v>
      </c>
      <c r="W32" s="8" t="s">
        <v>32</v>
      </c>
      <c r="X32">
        <v>2.388</v>
      </c>
    </row>
    <row r="33" spans="1:24">
      <c r="A33" s="8">
        <v>5543</v>
      </c>
      <c r="B33" s="9">
        <v>45261</v>
      </c>
      <c r="C33" s="8" t="s">
        <v>308</v>
      </c>
      <c r="D33" s="8">
        <v>121.497753</v>
      </c>
      <c r="E33" s="8">
        <v>31.23598224</v>
      </c>
      <c r="F33" s="8" t="s">
        <v>1275</v>
      </c>
      <c r="G33" s="8" t="s">
        <v>32</v>
      </c>
      <c r="H33" s="10">
        <v>7.5</v>
      </c>
      <c r="I33" s="8" t="s">
        <v>311</v>
      </c>
      <c r="J33" s="8" t="s">
        <v>182</v>
      </c>
      <c r="K33" s="8" t="s">
        <v>182</v>
      </c>
      <c r="L33" s="8" t="s">
        <v>25</v>
      </c>
      <c r="M33" s="8">
        <v>951.41</v>
      </c>
      <c r="N33" s="8" t="s">
        <v>1258</v>
      </c>
      <c r="O33" s="11">
        <v>951.41</v>
      </c>
      <c r="P33" s="8" t="s">
        <v>66</v>
      </c>
      <c r="Q33" s="8" t="s">
        <v>13</v>
      </c>
      <c r="R33" s="8" t="s">
        <v>1353</v>
      </c>
      <c r="S33" s="12" t="s">
        <v>1354</v>
      </c>
      <c r="T33" s="8" t="s">
        <v>1354</v>
      </c>
      <c r="U33" s="8">
        <v>121.513314598744</v>
      </c>
      <c r="V33" s="8">
        <v>31.2291933783398</v>
      </c>
      <c r="W33" s="8" t="s">
        <v>32</v>
      </c>
      <c r="X33">
        <v>2.144</v>
      </c>
    </row>
    <row r="34" spans="1:24">
      <c r="A34" s="8">
        <v>5537</v>
      </c>
      <c r="B34" s="9">
        <v>45261</v>
      </c>
      <c r="C34" s="8" t="s">
        <v>1176</v>
      </c>
      <c r="D34" s="8">
        <v>121.4951569</v>
      </c>
      <c r="E34" s="8">
        <v>31.23627411</v>
      </c>
      <c r="F34" s="8" t="s">
        <v>1275</v>
      </c>
      <c r="G34" s="8" t="s">
        <v>32</v>
      </c>
      <c r="H34" s="13">
        <v>7.79166666666667</v>
      </c>
      <c r="I34" s="8" t="s">
        <v>1177</v>
      </c>
      <c r="J34" s="8" t="s">
        <v>42</v>
      </c>
      <c r="K34" s="8" t="s">
        <v>42</v>
      </c>
      <c r="L34" s="8" t="s">
        <v>25</v>
      </c>
      <c r="M34" s="8">
        <v>600</v>
      </c>
      <c r="N34" s="8" t="s">
        <v>1258</v>
      </c>
      <c r="O34" s="11">
        <v>600</v>
      </c>
      <c r="P34" s="8" t="s">
        <v>66</v>
      </c>
      <c r="Q34" s="8" t="s">
        <v>52</v>
      </c>
      <c r="R34" s="8" t="s">
        <v>1355</v>
      </c>
      <c r="S34" s="12" t="s">
        <v>1356</v>
      </c>
      <c r="T34" s="8" t="s">
        <v>1357</v>
      </c>
      <c r="U34" s="8">
        <v>121.518388532068</v>
      </c>
      <c r="V34" s="8">
        <v>31.2321269686615</v>
      </c>
      <c r="W34" s="8" t="s">
        <v>32</v>
      </c>
      <c r="X34">
        <v>2.873</v>
      </c>
    </row>
    <row r="35" spans="1:24">
      <c r="A35" s="8">
        <v>5544</v>
      </c>
      <c r="B35" s="9">
        <v>45261</v>
      </c>
      <c r="C35" s="8" t="s">
        <v>356</v>
      </c>
      <c r="D35" s="8">
        <v>121.5291492</v>
      </c>
      <c r="E35" s="8">
        <v>31.22574298</v>
      </c>
      <c r="F35" s="8" t="s">
        <v>1257</v>
      </c>
      <c r="G35" s="8" t="s">
        <v>32</v>
      </c>
      <c r="H35" s="14">
        <v>7.5</v>
      </c>
      <c r="I35" s="8" t="s">
        <v>357</v>
      </c>
      <c r="J35" s="8" t="s">
        <v>59</v>
      </c>
      <c r="K35" s="8" t="s">
        <v>59</v>
      </c>
      <c r="L35" s="8" t="s">
        <v>25</v>
      </c>
      <c r="M35" s="8">
        <v>118</v>
      </c>
      <c r="N35" s="8" t="s">
        <v>1258</v>
      </c>
      <c r="O35" s="11">
        <v>118</v>
      </c>
      <c r="P35" s="8" t="s">
        <v>66</v>
      </c>
      <c r="Q35" s="8" t="s">
        <v>52</v>
      </c>
      <c r="R35" s="8" t="s">
        <v>1225</v>
      </c>
      <c r="S35" s="12" t="s">
        <v>1358</v>
      </c>
      <c r="T35" s="8" t="s">
        <v>1305</v>
      </c>
      <c r="U35" s="8">
        <v>121.512231309208</v>
      </c>
      <c r="V35" s="8">
        <v>31.2329133428835</v>
      </c>
      <c r="W35" s="8" t="s">
        <v>32</v>
      </c>
      <c r="X35">
        <v>2.06</v>
      </c>
    </row>
    <row r="36" spans="1:24">
      <c r="A36" s="8">
        <v>4001</v>
      </c>
      <c r="B36" s="9">
        <v>44573</v>
      </c>
      <c r="C36" s="8" t="s">
        <v>1156</v>
      </c>
      <c r="D36" s="8">
        <v>121.5260859</v>
      </c>
      <c r="E36" s="8">
        <v>31.22380716</v>
      </c>
      <c r="F36" s="8" t="s">
        <v>1257</v>
      </c>
      <c r="G36" s="8" t="s">
        <v>32</v>
      </c>
      <c r="H36" s="10">
        <v>6.22222222222222</v>
      </c>
      <c r="I36" s="8" t="s">
        <v>1157</v>
      </c>
      <c r="J36" s="8" t="s">
        <v>185</v>
      </c>
      <c r="K36" s="8" t="s">
        <v>185</v>
      </c>
      <c r="L36" s="8" t="s">
        <v>25</v>
      </c>
      <c r="M36" s="8">
        <v>2673</v>
      </c>
      <c r="N36" s="8" t="s">
        <v>1258</v>
      </c>
      <c r="O36" s="11">
        <v>2673</v>
      </c>
      <c r="P36" s="8" t="s">
        <v>43</v>
      </c>
      <c r="Q36" s="8" t="s">
        <v>52</v>
      </c>
      <c r="R36" s="8" t="s">
        <v>1359</v>
      </c>
      <c r="S36" s="8" t="s">
        <v>731</v>
      </c>
      <c r="T36" s="8" t="s">
        <v>731</v>
      </c>
      <c r="U36" s="8">
        <v>121.527370457805</v>
      </c>
      <c r="V36" s="8">
        <v>31.2244815538322</v>
      </c>
      <c r="W36" s="8"/>
      <c r="X36" s="15">
        <v>1.09</v>
      </c>
    </row>
    <row r="37" spans="1:24">
      <c r="A37" s="8">
        <v>4002</v>
      </c>
      <c r="B37" s="9">
        <v>44573</v>
      </c>
      <c r="C37" s="8" t="s">
        <v>708</v>
      </c>
      <c r="D37" s="8">
        <v>121.391217875558</v>
      </c>
      <c r="E37" s="8">
        <v>31.2284548414874</v>
      </c>
      <c r="F37" s="8" t="s">
        <v>1360</v>
      </c>
      <c r="G37" s="8" t="s">
        <v>21</v>
      </c>
      <c r="H37" s="13">
        <v>7.33333333333333</v>
      </c>
      <c r="I37" s="8" t="s">
        <v>716</v>
      </c>
      <c r="J37" s="8" t="s">
        <v>42</v>
      </c>
      <c r="K37" s="8" t="s">
        <v>42</v>
      </c>
      <c r="L37" s="8" t="s">
        <v>25</v>
      </c>
      <c r="M37" s="8">
        <v>2100</v>
      </c>
      <c r="N37" s="8" t="s">
        <v>1258</v>
      </c>
      <c r="O37" s="11">
        <v>2100</v>
      </c>
      <c r="P37" s="8" t="s">
        <v>26</v>
      </c>
      <c r="Q37" s="8" t="s">
        <v>13</v>
      </c>
      <c r="R37" s="8" t="s">
        <v>1361</v>
      </c>
      <c r="S37" s="8" t="s">
        <v>1362</v>
      </c>
      <c r="T37" s="8" t="s">
        <v>1362</v>
      </c>
      <c r="U37" s="8">
        <v>121.3846585666</v>
      </c>
      <c r="V37" s="8">
        <v>31.2281207507818</v>
      </c>
      <c r="W37" s="8"/>
      <c r="X37" s="15">
        <v>0.885</v>
      </c>
    </row>
    <row r="38" spans="1:24">
      <c r="A38" s="8">
        <v>4024</v>
      </c>
      <c r="B38" s="9">
        <v>44593</v>
      </c>
      <c r="C38" s="8" t="s">
        <v>459</v>
      </c>
      <c r="D38" s="8">
        <v>121.5021278</v>
      </c>
      <c r="E38" s="8">
        <v>31.24321741</v>
      </c>
      <c r="F38" s="8" t="s">
        <v>1275</v>
      </c>
      <c r="G38" s="8" t="s">
        <v>32</v>
      </c>
      <c r="H38" s="13">
        <v>8.98333333333333</v>
      </c>
      <c r="I38" s="8" t="s">
        <v>844</v>
      </c>
      <c r="J38" s="8" t="s">
        <v>23</v>
      </c>
      <c r="K38" s="8" t="s">
        <v>24</v>
      </c>
      <c r="L38" s="8" t="s">
        <v>25</v>
      </c>
      <c r="M38" s="8">
        <v>2189</v>
      </c>
      <c r="N38" s="8" t="s">
        <v>1258</v>
      </c>
      <c r="O38" s="11">
        <v>2189</v>
      </c>
      <c r="P38" s="8" t="s">
        <v>43</v>
      </c>
      <c r="Q38" s="8" t="s">
        <v>52</v>
      </c>
      <c r="R38" s="8" t="s">
        <v>1363</v>
      </c>
      <c r="S38" s="8" t="s">
        <v>1364</v>
      </c>
      <c r="T38" s="8" t="s">
        <v>1364</v>
      </c>
      <c r="U38" s="8">
        <v>121.45425635855</v>
      </c>
      <c r="V38" s="8">
        <v>31.244363212031</v>
      </c>
      <c r="W38" s="8"/>
      <c r="X38" s="15">
        <v>7.03</v>
      </c>
    </row>
    <row r="39" spans="1:24">
      <c r="A39" s="8">
        <v>4027</v>
      </c>
      <c r="B39" s="9">
        <v>44593</v>
      </c>
      <c r="C39" s="8" t="s">
        <v>114</v>
      </c>
      <c r="D39" s="8">
        <v>121.5291132</v>
      </c>
      <c r="E39" s="8">
        <v>31.22843925</v>
      </c>
      <c r="F39" s="8" t="s">
        <v>1257</v>
      </c>
      <c r="G39" s="8" t="s">
        <v>32</v>
      </c>
      <c r="H39" s="10">
        <v>7.74444444444444</v>
      </c>
      <c r="I39" s="8" t="s">
        <v>706</v>
      </c>
      <c r="J39" s="8" t="s">
        <v>136</v>
      </c>
      <c r="K39" s="8" t="s">
        <v>137</v>
      </c>
      <c r="L39" s="8" t="s">
        <v>25</v>
      </c>
      <c r="M39" s="8">
        <v>240</v>
      </c>
      <c r="N39" s="8" t="s">
        <v>1258</v>
      </c>
      <c r="O39" s="11">
        <v>240</v>
      </c>
      <c r="P39" s="8" t="s">
        <v>66</v>
      </c>
      <c r="Q39" s="8" t="s">
        <v>52</v>
      </c>
      <c r="R39" s="8" t="s">
        <v>1365</v>
      </c>
      <c r="S39" s="8" t="s">
        <v>1366</v>
      </c>
      <c r="T39" s="8" t="s">
        <v>1366</v>
      </c>
      <c r="U39" s="8">
        <v>121.530796918526</v>
      </c>
      <c r="V39" s="8">
        <v>31.2270101045802</v>
      </c>
      <c r="W39" s="8"/>
      <c r="X39" s="15">
        <v>0.99</v>
      </c>
    </row>
    <row r="40" spans="1:24">
      <c r="A40" s="8">
        <v>4046</v>
      </c>
      <c r="B40" s="9">
        <v>44613</v>
      </c>
      <c r="C40" s="8" t="s">
        <v>639</v>
      </c>
      <c r="D40" s="8">
        <v>121.476238880865</v>
      </c>
      <c r="E40" s="8">
        <v>31.1983117655287</v>
      </c>
      <c r="F40" s="8" t="s">
        <v>1263</v>
      </c>
      <c r="G40" s="8" t="s">
        <v>21</v>
      </c>
      <c r="H40" s="10">
        <v>8.78333333333333</v>
      </c>
      <c r="I40" s="8" t="s">
        <v>654</v>
      </c>
      <c r="J40" s="8" t="s">
        <v>23</v>
      </c>
      <c r="K40" s="8" t="s">
        <v>24</v>
      </c>
      <c r="L40" s="8" t="s">
        <v>25</v>
      </c>
      <c r="M40" s="8">
        <v>168</v>
      </c>
      <c r="N40" s="8" t="s">
        <v>1258</v>
      </c>
      <c r="O40" s="11">
        <v>168</v>
      </c>
      <c r="P40" s="8" t="s">
        <v>51</v>
      </c>
      <c r="Q40" s="8" t="s">
        <v>13</v>
      </c>
      <c r="R40" s="8" t="s">
        <v>1367</v>
      </c>
      <c r="S40" s="8" t="s">
        <v>1368</v>
      </c>
      <c r="T40" s="8" t="s">
        <v>1368</v>
      </c>
      <c r="U40" s="8">
        <v>121.480699197642</v>
      </c>
      <c r="V40" s="8">
        <v>31.251496080464</v>
      </c>
      <c r="W40" s="8"/>
      <c r="X40" s="15">
        <v>7.625</v>
      </c>
    </row>
    <row r="41" spans="1:24">
      <c r="A41" s="8">
        <v>4132</v>
      </c>
      <c r="B41" s="9">
        <v>44713</v>
      </c>
      <c r="C41" s="8" t="s">
        <v>900</v>
      </c>
      <c r="D41" s="8">
        <v>121.4968098</v>
      </c>
      <c r="E41" s="8">
        <v>31.23843243</v>
      </c>
      <c r="F41" s="8" t="s">
        <v>1275</v>
      </c>
      <c r="G41" s="8" t="s">
        <v>32</v>
      </c>
      <c r="H41" s="13">
        <v>15.5833333333333</v>
      </c>
      <c r="I41" s="8" t="s">
        <v>901</v>
      </c>
      <c r="J41" s="8" t="s">
        <v>182</v>
      </c>
      <c r="K41" s="8" t="s">
        <v>182</v>
      </c>
      <c r="L41" s="8" t="s">
        <v>25</v>
      </c>
      <c r="M41" s="8">
        <v>370</v>
      </c>
      <c r="N41" s="8" t="s">
        <v>1258</v>
      </c>
      <c r="O41" s="11">
        <v>370</v>
      </c>
      <c r="P41" s="8" t="s">
        <v>51</v>
      </c>
      <c r="Q41" s="8" t="s">
        <v>13</v>
      </c>
      <c r="R41" s="8" t="s">
        <v>1369</v>
      </c>
      <c r="S41" s="8" t="s">
        <v>1370</v>
      </c>
      <c r="T41" s="8" t="s">
        <v>1370</v>
      </c>
      <c r="U41" s="8">
        <v>121.50625807969</v>
      </c>
      <c r="V41" s="8">
        <v>31.2449060367642</v>
      </c>
      <c r="W41" s="8"/>
      <c r="X41" s="15">
        <v>1.735</v>
      </c>
    </row>
    <row r="42" spans="1:24">
      <c r="A42" s="8">
        <v>4147</v>
      </c>
      <c r="B42" s="9">
        <v>44718</v>
      </c>
      <c r="C42" s="8" t="s">
        <v>294</v>
      </c>
      <c r="D42" s="8">
        <v>121.522408923176</v>
      </c>
      <c r="E42" s="8">
        <v>31.2295236878688</v>
      </c>
      <c r="F42" s="8" t="s">
        <v>1257</v>
      </c>
      <c r="G42" s="8" t="s">
        <v>32</v>
      </c>
      <c r="H42" s="10">
        <v>13.2222222222222</v>
      </c>
      <c r="I42" s="8" t="s">
        <v>297</v>
      </c>
      <c r="J42" s="8" t="s">
        <v>23</v>
      </c>
      <c r="K42" s="8" t="s">
        <v>24</v>
      </c>
      <c r="L42" s="8" t="s">
        <v>25</v>
      </c>
      <c r="M42" s="8">
        <v>900</v>
      </c>
      <c r="N42" s="8" t="s">
        <v>1258</v>
      </c>
      <c r="O42" s="11">
        <v>900</v>
      </c>
      <c r="P42" s="8" t="s">
        <v>51</v>
      </c>
      <c r="Q42" s="8" t="s">
        <v>13</v>
      </c>
      <c r="R42" s="8" t="s">
        <v>1371</v>
      </c>
      <c r="S42" s="8" t="s">
        <v>1325</v>
      </c>
      <c r="T42" s="8" t="s">
        <v>1325</v>
      </c>
      <c r="U42" s="8">
        <v>121.533648650934</v>
      </c>
      <c r="V42" s="8">
        <v>31.2255518155612</v>
      </c>
      <c r="W42" s="8"/>
      <c r="X42" s="15">
        <v>1.635</v>
      </c>
    </row>
    <row r="43" spans="1:24">
      <c r="A43" s="8">
        <v>4169</v>
      </c>
      <c r="B43" s="9">
        <v>44729</v>
      </c>
      <c r="C43" s="8" t="s">
        <v>229</v>
      </c>
      <c r="D43" s="8">
        <v>121.4896233</v>
      </c>
      <c r="E43" s="8">
        <v>31.23218777</v>
      </c>
      <c r="F43" s="8" t="s">
        <v>1372</v>
      </c>
      <c r="G43" s="8" t="s">
        <v>32</v>
      </c>
      <c r="H43" s="13">
        <v>8.25</v>
      </c>
      <c r="I43" s="8" t="s">
        <v>734</v>
      </c>
      <c r="J43" s="8" t="s">
        <v>23</v>
      </c>
      <c r="K43" s="8" t="s">
        <v>24</v>
      </c>
      <c r="L43" s="8" t="s">
        <v>25</v>
      </c>
      <c r="M43" s="8">
        <v>189</v>
      </c>
      <c r="N43" s="8" t="s">
        <v>1258</v>
      </c>
      <c r="O43" s="11">
        <v>189</v>
      </c>
      <c r="P43" s="8" t="s">
        <v>51</v>
      </c>
      <c r="Q43" s="8" t="s">
        <v>13</v>
      </c>
      <c r="R43" s="8" t="s">
        <v>1373</v>
      </c>
      <c r="S43" s="8" t="s">
        <v>1374</v>
      </c>
      <c r="T43" s="8" t="s">
        <v>1374</v>
      </c>
      <c r="U43" s="8">
        <v>121.491916171744</v>
      </c>
      <c r="V43" s="8">
        <v>31.2494221892439</v>
      </c>
      <c r="W43" s="8"/>
      <c r="X43" s="15">
        <v>2.695</v>
      </c>
    </row>
    <row r="44" spans="1:24">
      <c r="A44" s="8">
        <v>4240</v>
      </c>
      <c r="B44" s="9">
        <v>44743</v>
      </c>
      <c r="C44" s="8" t="s">
        <v>810</v>
      </c>
      <c r="D44" s="8">
        <v>121.540161167296</v>
      </c>
      <c r="E44" s="8">
        <v>31.2510902949661</v>
      </c>
      <c r="F44" s="8" t="s">
        <v>1344</v>
      </c>
      <c r="G44" s="8" t="s">
        <v>21</v>
      </c>
      <c r="H44" s="13">
        <v>5.04166666666667</v>
      </c>
      <c r="I44" s="8" t="s">
        <v>1162</v>
      </c>
      <c r="J44" s="8" t="s">
        <v>185</v>
      </c>
      <c r="K44" s="8" t="s">
        <v>185</v>
      </c>
      <c r="L44" s="8" t="s">
        <v>25</v>
      </c>
      <c r="M44" s="8">
        <v>7500</v>
      </c>
      <c r="N44" s="8" t="s">
        <v>1258</v>
      </c>
      <c r="O44" s="11">
        <v>7500</v>
      </c>
      <c r="P44" s="8" t="s">
        <v>51</v>
      </c>
      <c r="Q44" s="8" t="s">
        <v>13</v>
      </c>
      <c r="R44" s="8" t="s">
        <v>1375</v>
      </c>
      <c r="S44" s="8" t="s">
        <v>1376</v>
      </c>
      <c r="T44" s="8" t="s">
        <v>1376</v>
      </c>
      <c r="U44" s="8">
        <v>121.513745466602</v>
      </c>
      <c r="V44" s="8">
        <v>31.2323195765977</v>
      </c>
      <c r="W44" s="8"/>
      <c r="X44" s="15">
        <v>4.11</v>
      </c>
    </row>
    <row r="45" spans="1:24">
      <c r="A45" s="8">
        <v>4202</v>
      </c>
      <c r="B45" s="9">
        <v>44743</v>
      </c>
      <c r="C45" s="8" t="s">
        <v>1169</v>
      </c>
      <c r="D45" s="8">
        <v>121.511558599559</v>
      </c>
      <c r="E45" s="8">
        <v>31.2335134208434</v>
      </c>
      <c r="F45" s="8" t="s">
        <v>1275</v>
      </c>
      <c r="G45" s="8" t="s">
        <v>32</v>
      </c>
      <c r="H45" s="13">
        <v>9.16666666666667</v>
      </c>
      <c r="I45" s="8" t="s">
        <v>1170</v>
      </c>
      <c r="J45" s="8" t="s">
        <v>23</v>
      </c>
      <c r="K45" s="8" t="s">
        <v>24</v>
      </c>
      <c r="L45" s="8" t="s">
        <v>25</v>
      </c>
      <c r="M45" s="8">
        <v>2639</v>
      </c>
      <c r="N45" s="8" t="s">
        <v>1258</v>
      </c>
      <c r="O45" s="11">
        <v>2639</v>
      </c>
      <c r="P45" s="8" t="s">
        <v>43</v>
      </c>
      <c r="Q45" s="8" t="s">
        <v>52</v>
      </c>
      <c r="R45" s="8" t="s">
        <v>1377</v>
      </c>
      <c r="S45" s="8" t="s">
        <v>1305</v>
      </c>
      <c r="T45" s="8" t="s">
        <v>1305</v>
      </c>
      <c r="U45" s="8">
        <v>121.512459931091</v>
      </c>
      <c r="V45" s="8">
        <v>31.233140504844</v>
      </c>
      <c r="W45" s="8"/>
      <c r="X45" s="15">
        <v>0.175</v>
      </c>
    </row>
    <row r="46" spans="1:24">
      <c r="A46" s="8">
        <v>4247</v>
      </c>
      <c r="B46" s="9">
        <v>44743</v>
      </c>
      <c r="C46" s="8" t="s">
        <v>810</v>
      </c>
      <c r="D46" s="8">
        <v>121.540161167296</v>
      </c>
      <c r="E46" s="8">
        <v>31.2510902949661</v>
      </c>
      <c r="F46" s="8" t="s">
        <v>1344</v>
      </c>
      <c r="G46" s="8" t="s">
        <v>21</v>
      </c>
      <c r="H46" s="13">
        <v>7.88333333333333</v>
      </c>
      <c r="I46" s="8" t="s">
        <v>1164</v>
      </c>
      <c r="J46" s="8" t="s">
        <v>23</v>
      </c>
      <c r="K46" s="8" t="s">
        <v>24</v>
      </c>
      <c r="L46" s="8" t="s">
        <v>25</v>
      </c>
      <c r="M46" s="8">
        <v>1842</v>
      </c>
      <c r="N46" s="8" t="s">
        <v>1258</v>
      </c>
      <c r="O46" s="11">
        <v>1842</v>
      </c>
      <c r="P46" s="8" t="s">
        <v>51</v>
      </c>
      <c r="Q46" s="8" t="s">
        <v>13</v>
      </c>
      <c r="R46" s="8" t="s">
        <v>1378</v>
      </c>
      <c r="S46" s="8" t="s">
        <v>1379</v>
      </c>
      <c r="T46" s="8" t="s">
        <v>1379</v>
      </c>
      <c r="U46" s="8">
        <v>121.56575186286</v>
      </c>
      <c r="V46" s="8">
        <v>31.1161407414817</v>
      </c>
      <c r="W46" s="8"/>
      <c r="X46" s="15">
        <v>17.335</v>
      </c>
    </row>
    <row r="47" spans="1:24">
      <c r="A47" s="8">
        <v>4214</v>
      </c>
      <c r="B47" s="9">
        <v>44743</v>
      </c>
      <c r="C47" s="8" t="s">
        <v>543</v>
      </c>
      <c r="D47" s="8">
        <v>121.504245</v>
      </c>
      <c r="E47" s="8">
        <v>31.240828</v>
      </c>
      <c r="F47" s="8" t="s">
        <v>1275</v>
      </c>
      <c r="G47" s="8" t="s">
        <v>32</v>
      </c>
      <c r="H47" s="10">
        <v>10.2</v>
      </c>
      <c r="I47" s="8" t="s">
        <v>910</v>
      </c>
      <c r="J47" s="8" t="s">
        <v>23</v>
      </c>
      <c r="K47" s="8" t="s">
        <v>24</v>
      </c>
      <c r="L47" s="8" t="s">
        <v>25</v>
      </c>
      <c r="M47" s="8">
        <v>1265.49</v>
      </c>
      <c r="N47" s="8">
        <v>0</v>
      </c>
      <c r="O47" s="11">
        <v>1265.49</v>
      </c>
      <c r="P47" s="8" t="s">
        <v>43</v>
      </c>
      <c r="Q47" s="8" t="s">
        <v>13</v>
      </c>
      <c r="R47" s="8" t="s">
        <v>1380</v>
      </c>
      <c r="S47" s="8" t="s">
        <v>869</v>
      </c>
      <c r="T47" s="8" t="s">
        <v>869</v>
      </c>
      <c r="U47" s="8">
        <v>121.526247694813</v>
      </c>
      <c r="V47" s="8">
        <v>31.2267965427293</v>
      </c>
      <c r="W47" s="8"/>
      <c r="X47" s="15">
        <v>3.245</v>
      </c>
    </row>
    <row r="48" spans="1:24">
      <c r="A48" s="8">
        <v>4208</v>
      </c>
      <c r="B48" s="9">
        <v>44743</v>
      </c>
      <c r="C48" s="8" t="s">
        <v>815</v>
      </c>
      <c r="D48" s="8">
        <v>121.503035125429</v>
      </c>
      <c r="E48" s="8">
        <v>31.2421575138146</v>
      </c>
      <c r="F48" s="8" t="s">
        <v>1275</v>
      </c>
      <c r="G48" s="8" t="s">
        <v>32</v>
      </c>
      <c r="H48" s="10">
        <v>7</v>
      </c>
      <c r="I48" s="8" t="s">
        <v>822</v>
      </c>
      <c r="J48" s="8" t="s">
        <v>142</v>
      </c>
      <c r="K48" s="8" t="s">
        <v>142</v>
      </c>
      <c r="L48" s="8" t="s">
        <v>25</v>
      </c>
      <c r="M48" s="8">
        <v>829</v>
      </c>
      <c r="N48" s="8" t="s">
        <v>1258</v>
      </c>
      <c r="O48" s="11">
        <v>829</v>
      </c>
      <c r="P48" s="8" t="s">
        <v>66</v>
      </c>
      <c r="Q48" s="8" t="s">
        <v>52</v>
      </c>
      <c r="R48" s="8" t="s">
        <v>1381</v>
      </c>
      <c r="S48" s="8" t="s">
        <v>543</v>
      </c>
      <c r="T48" s="8" t="s">
        <v>543</v>
      </c>
      <c r="U48" s="8">
        <v>121.499610438125</v>
      </c>
      <c r="V48" s="8">
        <v>31.242821207172</v>
      </c>
      <c r="W48" s="8"/>
      <c r="X48" s="15">
        <v>0.655</v>
      </c>
    </row>
    <row r="49" spans="1:24">
      <c r="A49" s="8">
        <v>4210</v>
      </c>
      <c r="B49" s="9">
        <v>44743</v>
      </c>
      <c r="C49" s="8" t="s">
        <v>139</v>
      </c>
      <c r="D49" s="8">
        <v>121.501246423391</v>
      </c>
      <c r="E49" s="8">
        <v>31.2355807061026</v>
      </c>
      <c r="F49" s="8" t="s">
        <v>1275</v>
      </c>
      <c r="G49" s="8" t="s">
        <v>32</v>
      </c>
      <c r="H49" s="10">
        <v>14.1666666666667</v>
      </c>
      <c r="I49" s="8" t="s">
        <v>144</v>
      </c>
      <c r="J49" s="8" t="s">
        <v>42</v>
      </c>
      <c r="K49" s="8" t="s">
        <v>42</v>
      </c>
      <c r="L49" s="8" t="s">
        <v>25</v>
      </c>
      <c r="M49" s="8">
        <v>500</v>
      </c>
      <c r="N49" s="8" t="s">
        <v>1258</v>
      </c>
      <c r="O49" s="11">
        <v>500</v>
      </c>
      <c r="P49" s="8" t="s">
        <v>43</v>
      </c>
      <c r="Q49" s="8" t="s">
        <v>52</v>
      </c>
      <c r="R49" s="8" t="s">
        <v>1382</v>
      </c>
      <c r="S49" s="8" t="s">
        <v>1383</v>
      </c>
      <c r="T49" s="8" t="s">
        <v>1383</v>
      </c>
      <c r="U49" s="8">
        <v>121.497860276634</v>
      </c>
      <c r="V49" s="8">
        <v>31.2390406498078</v>
      </c>
      <c r="W49" s="8"/>
      <c r="X49" s="15">
        <v>1.205</v>
      </c>
    </row>
    <row r="50" spans="1:24">
      <c r="A50" s="8">
        <v>4256</v>
      </c>
      <c r="B50" s="9">
        <v>44757</v>
      </c>
      <c r="C50" s="8" t="s">
        <v>1169</v>
      </c>
      <c r="D50" s="8">
        <v>121.511558599559</v>
      </c>
      <c r="E50" s="8">
        <v>31.2335134208434</v>
      </c>
      <c r="F50" s="8" t="s">
        <v>1275</v>
      </c>
      <c r="G50" s="8" t="s">
        <v>32</v>
      </c>
      <c r="H50" s="13">
        <v>9.16666666666667</v>
      </c>
      <c r="I50" s="8" t="s">
        <v>1171</v>
      </c>
      <c r="J50" s="8" t="s">
        <v>23</v>
      </c>
      <c r="K50" s="8" t="s">
        <v>24</v>
      </c>
      <c r="L50" s="8" t="s">
        <v>25</v>
      </c>
      <c r="M50" s="8">
        <v>2600</v>
      </c>
      <c r="N50" s="8" t="s">
        <v>1258</v>
      </c>
      <c r="O50" s="11">
        <v>2600</v>
      </c>
      <c r="P50" s="8" t="s">
        <v>43</v>
      </c>
      <c r="Q50" s="8" t="s">
        <v>13</v>
      </c>
      <c r="R50" s="8" t="s">
        <v>1384</v>
      </c>
      <c r="S50" s="8" t="s">
        <v>1385</v>
      </c>
      <c r="T50" s="8" t="s">
        <v>1385</v>
      </c>
      <c r="U50" s="8">
        <v>121.512452895819</v>
      </c>
      <c r="V50" s="8">
        <v>31.2332684255379</v>
      </c>
      <c r="W50" s="8"/>
      <c r="X50" s="15">
        <v>0.185</v>
      </c>
    </row>
    <row r="51" spans="1:24">
      <c r="A51" s="8">
        <v>4261</v>
      </c>
      <c r="B51" s="9">
        <v>44772</v>
      </c>
      <c r="C51" s="8" t="s">
        <v>139</v>
      </c>
      <c r="D51" s="8">
        <v>121.501246423391</v>
      </c>
      <c r="E51" s="8">
        <v>31.2355807061026</v>
      </c>
      <c r="F51" s="8" t="s">
        <v>1275</v>
      </c>
      <c r="G51" s="8" t="s">
        <v>32</v>
      </c>
      <c r="H51" s="13">
        <v>9.625</v>
      </c>
      <c r="I51" s="8" t="s">
        <v>146</v>
      </c>
      <c r="J51" s="8" t="s">
        <v>142</v>
      </c>
      <c r="K51" s="8" t="s">
        <v>142</v>
      </c>
      <c r="L51" s="8" t="s">
        <v>25</v>
      </c>
      <c r="M51" s="8">
        <v>1100</v>
      </c>
      <c r="N51" s="8" t="s">
        <v>1258</v>
      </c>
      <c r="O51" s="11">
        <v>1100</v>
      </c>
      <c r="P51" s="8" t="s">
        <v>66</v>
      </c>
      <c r="Q51" s="8" t="s">
        <v>13</v>
      </c>
      <c r="R51" s="8" t="s">
        <v>1386</v>
      </c>
      <c r="S51" s="8" t="s">
        <v>1387</v>
      </c>
      <c r="T51" s="8" t="s">
        <v>1387</v>
      </c>
      <c r="U51" s="8">
        <v>121.400626065507</v>
      </c>
      <c r="V51" s="8">
        <v>31.2066254795464</v>
      </c>
      <c r="W51" s="8"/>
      <c r="X51" s="15">
        <v>11.625</v>
      </c>
    </row>
    <row r="52" spans="1:24">
      <c r="A52" s="8">
        <v>4284</v>
      </c>
      <c r="B52" s="9">
        <v>44774</v>
      </c>
      <c r="C52" s="8" t="s">
        <v>543</v>
      </c>
      <c r="D52" s="8">
        <v>121.504245</v>
      </c>
      <c r="E52" s="8">
        <v>31.240828</v>
      </c>
      <c r="F52" s="8" t="s">
        <v>1275</v>
      </c>
      <c r="G52" s="8" t="s">
        <v>32</v>
      </c>
      <c r="H52" s="10">
        <v>8.88</v>
      </c>
      <c r="I52" s="8" t="s">
        <v>906</v>
      </c>
      <c r="J52" s="8" t="s">
        <v>142</v>
      </c>
      <c r="K52" s="8" t="s">
        <v>142</v>
      </c>
      <c r="L52" s="8" t="s">
        <v>25</v>
      </c>
      <c r="M52" s="8">
        <v>1891.3</v>
      </c>
      <c r="N52" s="8">
        <v>0</v>
      </c>
      <c r="O52" s="11">
        <v>1891.3</v>
      </c>
      <c r="P52" s="8" t="s">
        <v>43</v>
      </c>
      <c r="Q52" s="8" t="s">
        <v>13</v>
      </c>
      <c r="R52" s="8" t="s">
        <v>1388</v>
      </c>
      <c r="S52" s="8" t="s">
        <v>815</v>
      </c>
      <c r="T52" s="8" t="s">
        <v>815</v>
      </c>
      <c r="U52" s="8">
        <v>121.502992645502</v>
      </c>
      <c r="V52" s="8">
        <v>31.2421566008266</v>
      </c>
      <c r="W52" s="8"/>
      <c r="X52" s="15">
        <v>0.31</v>
      </c>
    </row>
    <row r="53" spans="1:24">
      <c r="A53" s="8">
        <v>4275</v>
      </c>
      <c r="B53" s="9">
        <v>44774</v>
      </c>
      <c r="C53" s="8" t="s">
        <v>815</v>
      </c>
      <c r="D53" s="8">
        <v>121.503035125429</v>
      </c>
      <c r="E53" s="8">
        <v>31.2421575138146</v>
      </c>
      <c r="F53" s="8" t="s">
        <v>1275</v>
      </c>
      <c r="G53" s="8" t="s">
        <v>32</v>
      </c>
      <c r="H53" s="10">
        <v>9.776</v>
      </c>
      <c r="I53" s="8" t="s">
        <v>824</v>
      </c>
      <c r="J53" s="8" t="s">
        <v>142</v>
      </c>
      <c r="K53" s="8" t="s">
        <v>142</v>
      </c>
      <c r="L53" s="8" t="s">
        <v>25</v>
      </c>
      <c r="M53" s="8">
        <v>582.47</v>
      </c>
      <c r="N53" s="8">
        <v>0</v>
      </c>
      <c r="O53" s="11">
        <v>582.47</v>
      </c>
      <c r="P53" s="8" t="s">
        <v>66</v>
      </c>
      <c r="Q53" s="8" t="s">
        <v>52</v>
      </c>
      <c r="R53" s="8" t="s">
        <v>1389</v>
      </c>
      <c r="S53" s="8" t="s">
        <v>543</v>
      </c>
      <c r="T53" s="8" t="s">
        <v>543</v>
      </c>
      <c r="U53" s="8">
        <v>121.499610438125</v>
      </c>
      <c r="V53" s="8">
        <v>31.242821207172</v>
      </c>
      <c r="W53" s="8"/>
      <c r="X53" s="15">
        <v>0.655</v>
      </c>
    </row>
    <row r="54" spans="1:24">
      <c r="A54" s="8">
        <v>4344</v>
      </c>
      <c r="B54" s="9">
        <v>44798</v>
      </c>
      <c r="C54" s="8" t="s">
        <v>294</v>
      </c>
      <c r="D54" s="8">
        <v>121.522408923176</v>
      </c>
      <c r="E54" s="8">
        <v>31.2295236878688</v>
      </c>
      <c r="F54" s="8" t="s">
        <v>1257</v>
      </c>
      <c r="G54" s="8" t="s">
        <v>32</v>
      </c>
      <c r="H54" s="10">
        <v>10.39</v>
      </c>
      <c r="I54" s="8" t="s">
        <v>302</v>
      </c>
      <c r="J54" s="8" t="s">
        <v>23</v>
      </c>
      <c r="K54" s="8" t="s">
        <v>24</v>
      </c>
      <c r="L54" s="8" t="s">
        <v>25</v>
      </c>
      <c r="M54" s="8">
        <v>460.49</v>
      </c>
      <c r="N54" s="8" t="s">
        <v>1258</v>
      </c>
      <c r="O54" s="11">
        <v>460.49</v>
      </c>
      <c r="P54" s="8" t="s">
        <v>51</v>
      </c>
      <c r="Q54" s="8" t="s">
        <v>13</v>
      </c>
      <c r="R54" s="8" t="s">
        <v>1390</v>
      </c>
      <c r="S54" s="8" t="s">
        <v>1391</v>
      </c>
      <c r="T54" s="8" t="s">
        <v>1391</v>
      </c>
      <c r="U54" s="8">
        <v>121.452566234005</v>
      </c>
      <c r="V54" s="8">
        <v>31.24233698131</v>
      </c>
      <c r="W54" s="8"/>
      <c r="X54" s="15">
        <v>8.875</v>
      </c>
    </row>
    <row r="55" spans="1:24">
      <c r="A55" s="8">
        <v>4345</v>
      </c>
      <c r="B55" s="9">
        <v>44803</v>
      </c>
      <c r="C55" s="8" t="s">
        <v>1392</v>
      </c>
      <c r="D55" s="8">
        <v>121.476238880865</v>
      </c>
      <c r="E55" s="8">
        <v>31.1983117655287</v>
      </c>
      <c r="F55" s="8" t="s">
        <v>1263</v>
      </c>
      <c r="G55" s="8" t="s">
        <v>21</v>
      </c>
      <c r="H55" s="13">
        <v>9.16666666666667</v>
      </c>
      <c r="I55" s="8" t="s">
        <v>647</v>
      </c>
      <c r="J55" s="8" t="s">
        <v>23</v>
      </c>
      <c r="K55" s="8" t="s">
        <v>24</v>
      </c>
      <c r="L55" s="8" t="s">
        <v>25</v>
      </c>
      <c r="M55" s="8">
        <v>8000</v>
      </c>
      <c r="N55" s="8" t="s">
        <v>1258</v>
      </c>
      <c r="O55" s="11">
        <v>8000</v>
      </c>
      <c r="P55" s="8" t="s">
        <v>43</v>
      </c>
      <c r="Q55" s="8" t="s">
        <v>13</v>
      </c>
      <c r="R55" s="8" t="s">
        <v>1393</v>
      </c>
      <c r="S55" s="8" t="s">
        <v>1394</v>
      </c>
      <c r="T55" s="8" t="s">
        <v>1394</v>
      </c>
      <c r="U55" s="8">
        <v>121.477584939958</v>
      </c>
      <c r="V55" s="8">
        <v>31.19961725373</v>
      </c>
      <c r="W55" s="8"/>
      <c r="X55" s="15">
        <v>0.51</v>
      </c>
    </row>
    <row r="56" spans="1:24">
      <c r="A56" s="8">
        <v>4372</v>
      </c>
      <c r="B56" s="9">
        <v>44805</v>
      </c>
      <c r="C56" s="8" t="s">
        <v>1338</v>
      </c>
      <c r="D56" s="8">
        <v>121.5301224</v>
      </c>
      <c r="E56" s="8">
        <v>31.21429566</v>
      </c>
      <c r="F56" s="8" t="s">
        <v>1257</v>
      </c>
      <c r="G56" s="8" t="s">
        <v>32</v>
      </c>
      <c r="H56" s="10">
        <v>6.25333333333333</v>
      </c>
      <c r="I56" s="8" t="s">
        <v>1155</v>
      </c>
      <c r="J56" s="8" t="s">
        <v>136</v>
      </c>
      <c r="K56" s="8" t="s">
        <v>137</v>
      </c>
      <c r="L56" s="8" t="s">
        <v>25</v>
      </c>
      <c r="M56" s="8">
        <v>6633.05</v>
      </c>
      <c r="N56" s="8">
        <v>0</v>
      </c>
      <c r="O56" s="11">
        <v>6633.05</v>
      </c>
      <c r="P56" s="8" t="s">
        <v>245</v>
      </c>
      <c r="Q56" s="8" t="s">
        <v>52</v>
      </c>
      <c r="R56" s="8" t="s">
        <v>1395</v>
      </c>
      <c r="S56" s="8" t="s">
        <v>1366</v>
      </c>
      <c r="T56" s="8" t="s">
        <v>1366</v>
      </c>
      <c r="U56" s="8">
        <v>121.531214212788</v>
      </c>
      <c r="V56" s="8">
        <v>31.2267902499356</v>
      </c>
      <c r="W56" s="8"/>
      <c r="X56" s="15">
        <v>2.23</v>
      </c>
    </row>
    <row r="57" spans="1:24">
      <c r="A57" s="8">
        <v>4386</v>
      </c>
      <c r="B57" s="9">
        <v>44805</v>
      </c>
      <c r="C57" s="8" t="s">
        <v>1396</v>
      </c>
      <c r="D57" s="8">
        <v>121.4689464042</v>
      </c>
      <c r="E57" s="8">
        <v>31.1553650124</v>
      </c>
      <c r="F57" s="8" t="s">
        <v>1300</v>
      </c>
      <c r="G57" s="8" t="s">
        <v>21</v>
      </c>
      <c r="H57" s="13">
        <v>6.41666666666667</v>
      </c>
      <c r="I57" s="8" t="s">
        <v>594</v>
      </c>
      <c r="J57" s="8" t="s">
        <v>23</v>
      </c>
      <c r="K57" s="8" t="s">
        <v>24</v>
      </c>
      <c r="L57" s="8" t="s">
        <v>25</v>
      </c>
      <c r="M57" s="8">
        <v>2000</v>
      </c>
      <c r="N57" s="8" t="s">
        <v>1258</v>
      </c>
      <c r="O57" s="11">
        <v>2000</v>
      </c>
      <c r="P57" s="8" t="s">
        <v>43</v>
      </c>
      <c r="Q57" s="8" t="s">
        <v>13</v>
      </c>
      <c r="R57" s="8" t="s">
        <v>1397</v>
      </c>
      <c r="S57" s="8" t="s">
        <v>1398</v>
      </c>
      <c r="T57" s="8" t="s">
        <v>1398</v>
      </c>
      <c r="U57" s="8">
        <v>121.444126952507</v>
      </c>
      <c r="V57" s="8">
        <v>31.2280855243237</v>
      </c>
      <c r="W57" s="8"/>
      <c r="X57" s="15">
        <v>12.565</v>
      </c>
    </row>
    <row r="58" spans="1:24">
      <c r="A58" s="8">
        <v>4406</v>
      </c>
      <c r="B58" s="9">
        <v>44809</v>
      </c>
      <c r="C58" s="8" t="s">
        <v>815</v>
      </c>
      <c r="D58" s="8">
        <v>121.503035125429</v>
      </c>
      <c r="E58" s="8">
        <v>31.2421575138146</v>
      </c>
      <c r="F58" s="8" t="s">
        <v>1275</v>
      </c>
      <c r="G58" s="8" t="s">
        <v>32</v>
      </c>
      <c r="H58" s="13">
        <v>6.875</v>
      </c>
      <c r="I58" s="8" t="s">
        <v>820</v>
      </c>
      <c r="J58" s="8" t="s">
        <v>23</v>
      </c>
      <c r="K58" s="8" t="s">
        <v>24</v>
      </c>
      <c r="L58" s="8" t="s">
        <v>25</v>
      </c>
      <c r="M58" s="8">
        <v>330</v>
      </c>
      <c r="N58" s="8" t="s">
        <v>1258</v>
      </c>
      <c r="O58" s="11">
        <v>330</v>
      </c>
      <c r="P58" s="8" t="s">
        <v>66</v>
      </c>
      <c r="Q58" s="8" t="s">
        <v>13</v>
      </c>
      <c r="R58" s="8" t="s">
        <v>1399</v>
      </c>
      <c r="S58" s="8" t="s">
        <v>1400</v>
      </c>
      <c r="T58" s="8" t="s">
        <v>1400</v>
      </c>
      <c r="U58" s="8">
        <v>121.502916234426</v>
      </c>
      <c r="V58" s="8">
        <v>31.2437806387375</v>
      </c>
      <c r="W58" s="8"/>
      <c r="X58" s="15">
        <v>0.635</v>
      </c>
    </row>
    <row r="59" spans="1:24">
      <c r="A59" s="8">
        <v>4421</v>
      </c>
      <c r="B59" s="9">
        <v>44834</v>
      </c>
      <c r="C59" s="8" t="s">
        <v>459</v>
      </c>
      <c r="D59" s="8">
        <v>121.5021278</v>
      </c>
      <c r="E59" s="8">
        <v>31.24321741</v>
      </c>
      <c r="F59" s="8" t="s">
        <v>1275</v>
      </c>
      <c r="G59" s="8" t="s">
        <v>32</v>
      </c>
      <c r="H59" s="13">
        <v>7.79166666666667</v>
      </c>
      <c r="I59" s="8" t="s">
        <v>842</v>
      </c>
      <c r="J59" s="8" t="s">
        <v>843</v>
      </c>
      <c r="K59" s="8" t="s">
        <v>843</v>
      </c>
      <c r="L59" s="8" t="s">
        <v>25</v>
      </c>
      <c r="M59" s="8">
        <v>1000</v>
      </c>
      <c r="N59" s="8" t="s">
        <v>1258</v>
      </c>
      <c r="O59" s="11">
        <v>1000</v>
      </c>
      <c r="P59" s="8" t="s">
        <v>51</v>
      </c>
      <c r="Q59" s="8" t="s">
        <v>52</v>
      </c>
      <c r="R59" s="8" t="s">
        <v>1401</v>
      </c>
      <c r="S59" s="8" t="s">
        <v>1402</v>
      </c>
      <c r="T59" s="8" t="s">
        <v>1402</v>
      </c>
      <c r="U59" s="8">
        <v>121.521749824961</v>
      </c>
      <c r="V59" s="8">
        <v>31.2296901764174</v>
      </c>
      <c r="W59" s="8"/>
      <c r="X59" s="15">
        <v>3.225</v>
      </c>
    </row>
    <row r="60" spans="1:24">
      <c r="A60" s="8">
        <v>4450</v>
      </c>
      <c r="B60" s="9">
        <v>44835</v>
      </c>
      <c r="C60" s="8" t="s">
        <v>1144</v>
      </c>
      <c r="D60" s="8">
        <v>121.5314569</v>
      </c>
      <c r="E60" s="8">
        <v>31.21481128</v>
      </c>
      <c r="F60" s="8" t="s">
        <v>1257</v>
      </c>
      <c r="G60" s="8" t="s">
        <v>32</v>
      </c>
      <c r="H60" s="13">
        <v>7.15</v>
      </c>
      <c r="I60" s="8" t="s">
        <v>1148</v>
      </c>
      <c r="J60" s="8" t="s">
        <v>23</v>
      </c>
      <c r="K60" s="8" t="s">
        <v>24</v>
      </c>
      <c r="L60" s="8" t="s">
        <v>25</v>
      </c>
      <c r="M60" s="8">
        <v>350</v>
      </c>
      <c r="N60" s="8" t="s">
        <v>1258</v>
      </c>
      <c r="O60" s="11">
        <v>350</v>
      </c>
      <c r="P60" s="8" t="s">
        <v>51</v>
      </c>
      <c r="Q60" s="8" t="s">
        <v>13</v>
      </c>
      <c r="R60" s="8" t="s">
        <v>1403</v>
      </c>
      <c r="S60" s="8" t="s">
        <v>1404</v>
      </c>
      <c r="T60" s="8" t="s">
        <v>1404</v>
      </c>
      <c r="U60" s="8">
        <v>121.624238935394</v>
      </c>
      <c r="V60" s="8">
        <v>31.2102306968025</v>
      </c>
      <c r="W60" s="8"/>
      <c r="X60" s="15">
        <v>11.07</v>
      </c>
    </row>
    <row r="61" spans="1:24">
      <c r="A61" s="8">
        <v>4480</v>
      </c>
      <c r="B61" s="9">
        <v>44866</v>
      </c>
      <c r="C61" s="8" t="s">
        <v>751</v>
      </c>
      <c r="D61" s="8">
        <v>121.5079953</v>
      </c>
      <c r="E61" s="8">
        <v>31.2437794</v>
      </c>
      <c r="F61" s="8" t="s">
        <v>1275</v>
      </c>
      <c r="G61" s="8" t="s">
        <v>32</v>
      </c>
      <c r="H61" s="13">
        <v>6.875</v>
      </c>
      <c r="I61" s="8" t="s">
        <v>754</v>
      </c>
      <c r="J61" s="8" t="s">
        <v>42</v>
      </c>
      <c r="K61" s="8" t="s">
        <v>42</v>
      </c>
      <c r="L61" s="8" t="s">
        <v>25</v>
      </c>
      <c r="M61" s="8">
        <v>1600</v>
      </c>
      <c r="N61" s="8" t="s">
        <v>1258</v>
      </c>
      <c r="O61" s="11">
        <v>1600</v>
      </c>
      <c r="P61" s="8" t="s">
        <v>43</v>
      </c>
      <c r="Q61" s="8" t="s">
        <v>52</v>
      </c>
      <c r="R61" s="8" t="s">
        <v>1405</v>
      </c>
      <c r="S61" s="8" t="s">
        <v>1406</v>
      </c>
      <c r="T61" s="8" t="s">
        <v>1406</v>
      </c>
      <c r="U61" s="8">
        <v>121.492538461492</v>
      </c>
      <c r="V61" s="8">
        <v>31.2290487087472</v>
      </c>
      <c r="W61" s="8"/>
      <c r="X61" s="15">
        <v>4.88</v>
      </c>
    </row>
    <row r="62" spans="1:24">
      <c r="A62" s="8">
        <v>4504</v>
      </c>
      <c r="B62" s="9">
        <v>44866</v>
      </c>
      <c r="C62" s="8" t="s">
        <v>272</v>
      </c>
      <c r="D62" s="8">
        <v>121.4973757</v>
      </c>
      <c r="E62" s="8">
        <v>31.26621727</v>
      </c>
      <c r="F62" s="8" t="s">
        <v>1286</v>
      </c>
      <c r="G62" s="8" t="s">
        <v>21</v>
      </c>
      <c r="H62" s="10">
        <v>5.25277777777778</v>
      </c>
      <c r="I62" s="8" t="s">
        <v>973</v>
      </c>
      <c r="J62" s="8" t="s">
        <v>182</v>
      </c>
      <c r="K62" s="8" t="s">
        <v>182</v>
      </c>
      <c r="L62" s="8" t="s">
        <v>25</v>
      </c>
      <c r="M62" s="8">
        <v>703.31</v>
      </c>
      <c r="N62" s="8">
        <v>0</v>
      </c>
      <c r="O62" s="11">
        <v>703.31</v>
      </c>
      <c r="P62" s="8" t="s">
        <v>245</v>
      </c>
      <c r="Q62" s="8" t="s">
        <v>52</v>
      </c>
      <c r="R62" s="8" t="s">
        <v>1407</v>
      </c>
      <c r="S62" s="8" t="s">
        <v>1408</v>
      </c>
      <c r="T62" s="8" t="s">
        <v>1408</v>
      </c>
      <c r="U62" s="8">
        <v>121.512972217074</v>
      </c>
      <c r="V62" s="8">
        <v>31.2628196937058</v>
      </c>
      <c r="W62" s="8"/>
      <c r="X62" s="15">
        <v>2.4</v>
      </c>
    </row>
    <row r="63" spans="1:24">
      <c r="A63" s="8">
        <v>4518</v>
      </c>
      <c r="B63" s="9">
        <v>44866</v>
      </c>
      <c r="C63" s="8" t="s">
        <v>281</v>
      </c>
      <c r="D63" s="8">
        <v>121.455928321736</v>
      </c>
      <c r="E63" s="8">
        <v>31.163149177406</v>
      </c>
      <c r="F63" s="8" t="s">
        <v>1272</v>
      </c>
      <c r="G63" s="8" t="s">
        <v>21</v>
      </c>
      <c r="H63" s="10">
        <v>8.46486486486486</v>
      </c>
      <c r="I63" s="8" t="s">
        <v>863</v>
      </c>
      <c r="J63" s="8" t="s">
        <v>23</v>
      </c>
      <c r="K63" s="8" t="s">
        <v>24</v>
      </c>
      <c r="L63" s="8" t="s">
        <v>25</v>
      </c>
      <c r="M63" s="8">
        <v>247.76</v>
      </c>
      <c r="N63" s="8">
        <v>0</v>
      </c>
      <c r="O63" s="11">
        <v>247.76</v>
      </c>
      <c r="P63" s="8" t="s">
        <v>245</v>
      </c>
      <c r="Q63" s="8" t="s">
        <v>13</v>
      </c>
      <c r="R63" s="8" t="s">
        <v>1409</v>
      </c>
      <c r="S63" s="8" t="s">
        <v>1410</v>
      </c>
      <c r="T63" s="8" t="s">
        <v>1410</v>
      </c>
      <c r="U63" s="8">
        <v>121.593569868309</v>
      </c>
      <c r="V63" s="8">
        <v>31.278749216441</v>
      </c>
      <c r="W63" s="8"/>
      <c r="X63" s="15">
        <v>21.855</v>
      </c>
    </row>
    <row r="64" spans="1:24">
      <c r="A64" s="8">
        <v>4550</v>
      </c>
      <c r="B64" s="9">
        <v>44880</v>
      </c>
      <c r="C64" s="8" t="s">
        <v>751</v>
      </c>
      <c r="D64" s="8">
        <v>121.5079953</v>
      </c>
      <c r="E64" s="8">
        <v>31.2437794</v>
      </c>
      <c r="F64" s="8" t="s">
        <v>1275</v>
      </c>
      <c r="G64" s="8" t="s">
        <v>32</v>
      </c>
      <c r="H64" s="13">
        <v>6.875</v>
      </c>
      <c r="I64" s="8" t="s">
        <v>752</v>
      </c>
      <c r="J64" s="8" t="s">
        <v>182</v>
      </c>
      <c r="K64" s="8" t="s">
        <v>182</v>
      </c>
      <c r="L64" s="8" t="s">
        <v>25</v>
      </c>
      <c r="M64" s="8">
        <v>1600</v>
      </c>
      <c r="N64" s="8" t="s">
        <v>1258</v>
      </c>
      <c r="O64" s="11">
        <v>1600</v>
      </c>
      <c r="P64" s="8" t="s">
        <v>43</v>
      </c>
      <c r="Q64" s="8" t="s">
        <v>13</v>
      </c>
      <c r="R64" s="8" t="s">
        <v>1411</v>
      </c>
      <c r="S64" s="8" t="s">
        <v>1412</v>
      </c>
      <c r="T64" s="8" t="s">
        <v>1412</v>
      </c>
      <c r="U64" s="8">
        <v>121.52574475985</v>
      </c>
      <c r="V64" s="8">
        <v>31.2426309355315</v>
      </c>
      <c r="W64" s="8"/>
      <c r="X64" s="15">
        <v>2.445</v>
      </c>
    </row>
    <row r="65" spans="1:24">
      <c r="A65" s="8">
        <v>4554</v>
      </c>
      <c r="B65" s="9">
        <v>44889</v>
      </c>
      <c r="C65" s="8" t="s">
        <v>221</v>
      </c>
      <c r="D65" s="8">
        <v>121.503089</v>
      </c>
      <c r="E65" s="8">
        <v>31.23655062</v>
      </c>
      <c r="F65" s="8" t="s">
        <v>1275</v>
      </c>
      <c r="G65" s="8" t="s">
        <v>32</v>
      </c>
      <c r="H65" s="13">
        <v>9.44166666666667</v>
      </c>
      <c r="I65" s="8" t="s">
        <v>226</v>
      </c>
      <c r="J65" s="8" t="s">
        <v>23</v>
      </c>
      <c r="K65" s="8" t="s">
        <v>24</v>
      </c>
      <c r="L65" s="8" t="s">
        <v>25</v>
      </c>
      <c r="M65" s="8">
        <v>410</v>
      </c>
      <c r="N65" s="8" t="s">
        <v>1258</v>
      </c>
      <c r="O65" s="11">
        <v>410</v>
      </c>
      <c r="P65" s="8" t="s">
        <v>51</v>
      </c>
      <c r="Q65" s="8" t="s">
        <v>13</v>
      </c>
      <c r="R65" s="8" t="s">
        <v>1413</v>
      </c>
      <c r="S65" s="8" t="s">
        <v>1414</v>
      </c>
      <c r="T65" s="8" t="s">
        <v>1414</v>
      </c>
      <c r="U65" s="8">
        <v>121.618693818786</v>
      </c>
      <c r="V65" s="8">
        <v>31.257725927347</v>
      </c>
      <c r="W65" s="8"/>
      <c r="X65" s="15">
        <v>13.535</v>
      </c>
    </row>
    <row r="66" spans="1:24">
      <c r="A66" s="8">
        <v>4665</v>
      </c>
      <c r="B66" s="9">
        <v>44896</v>
      </c>
      <c r="C66" s="8" t="s">
        <v>63</v>
      </c>
      <c r="D66" s="8">
        <v>121.4695908</v>
      </c>
      <c r="E66" s="8">
        <v>31.1724856</v>
      </c>
      <c r="F66" s="8" t="s">
        <v>1268</v>
      </c>
      <c r="G66" s="8" t="s">
        <v>21</v>
      </c>
      <c r="H66" s="10">
        <v>7.05882352941176</v>
      </c>
      <c r="I66" s="8" t="s">
        <v>65</v>
      </c>
      <c r="J66" s="8" t="s">
        <v>23</v>
      </c>
      <c r="K66" s="8" t="s">
        <v>24</v>
      </c>
      <c r="L66" s="8" t="s">
        <v>25</v>
      </c>
      <c r="M66" s="8">
        <v>1098.61</v>
      </c>
      <c r="N66" s="8">
        <v>0</v>
      </c>
      <c r="O66" s="11">
        <v>1098.61</v>
      </c>
      <c r="P66" s="8" t="s">
        <v>66</v>
      </c>
      <c r="Q66" s="8" t="s">
        <v>13</v>
      </c>
      <c r="R66" s="8" t="s">
        <v>1415</v>
      </c>
      <c r="S66" s="8" t="s">
        <v>1416</v>
      </c>
      <c r="T66" s="8" t="s">
        <v>1416</v>
      </c>
      <c r="U66" s="8">
        <v>121.468781107192</v>
      </c>
      <c r="V66" s="8">
        <v>31.1945820142929</v>
      </c>
      <c r="W66" s="8"/>
      <c r="X66" s="15">
        <v>4.81</v>
      </c>
    </row>
    <row r="67" spans="1:24">
      <c r="A67" s="8">
        <v>4721</v>
      </c>
      <c r="B67" s="9">
        <v>44896</v>
      </c>
      <c r="C67" s="8" t="s">
        <v>903</v>
      </c>
      <c r="D67" s="8">
        <v>121.417465034612</v>
      </c>
      <c r="E67" s="8">
        <v>31.1997373474495</v>
      </c>
      <c r="F67" s="8" t="s">
        <v>1286</v>
      </c>
      <c r="G67" s="8" t="s">
        <v>32</v>
      </c>
      <c r="H67" s="10">
        <v>7.77777777777778</v>
      </c>
      <c r="I67" s="8" t="s">
        <v>248</v>
      </c>
      <c r="J67" s="8" t="s">
        <v>23</v>
      </c>
      <c r="K67" s="8" t="s">
        <v>24</v>
      </c>
      <c r="L67" s="8" t="s">
        <v>25</v>
      </c>
      <c r="M67" s="8">
        <v>226</v>
      </c>
      <c r="N67" s="8" t="s">
        <v>1258</v>
      </c>
      <c r="O67" s="11">
        <v>226</v>
      </c>
      <c r="P67" s="8" t="s">
        <v>51</v>
      </c>
      <c r="Q67" s="8" t="s">
        <v>13</v>
      </c>
      <c r="R67" s="8" t="s">
        <v>1417</v>
      </c>
      <c r="S67" s="8" t="s">
        <v>1418</v>
      </c>
      <c r="T67" s="8" t="s">
        <v>1418</v>
      </c>
      <c r="U67" s="8">
        <v>121.524758098671</v>
      </c>
      <c r="V67" s="8">
        <v>31.2245066857798</v>
      </c>
      <c r="W67" s="8"/>
      <c r="X67" s="15">
        <v>11.82</v>
      </c>
    </row>
    <row r="68" spans="1:24">
      <c r="A68" s="8">
        <v>4730</v>
      </c>
      <c r="B68" s="9">
        <v>44897</v>
      </c>
      <c r="C68" s="8" t="s">
        <v>40</v>
      </c>
      <c r="D68" s="8">
        <v>121.5585774</v>
      </c>
      <c r="E68" s="8">
        <v>31.20849383</v>
      </c>
      <c r="F68" s="8" t="s">
        <v>1419</v>
      </c>
      <c r="G68" s="8" t="s">
        <v>21</v>
      </c>
      <c r="H68" s="13">
        <v>6.41666666666667</v>
      </c>
      <c r="I68" s="8" t="s">
        <v>41</v>
      </c>
      <c r="J68" s="8" t="s">
        <v>42</v>
      </c>
      <c r="K68" s="8" t="s">
        <v>42</v>
      </c>
      <c r="L68" s="8" t="s">
        <v>25</v>
      </c>
      <c r="M68" s="8">
        <v>1900</v>
      </c>
      <c r="N68" s="8" t="s">
        <v>1258</v>
      </c>
      <c r="O68" s="11">
        <v>1900</v>
      </c>
      <c r="P68" s="8" t="s">
        <v>43</v>
      </c>
      <c r="Q68" s="8" t="s">
        <v>13</v>
      </c>
      <c r="R68" s="8" t="s">
        <v>1420</v>
      </c>
      <c r="S68" s="8" t="s">
        <v>1421</v>
      </c>
      <c r="T68" s="8" t="s">
        <v>1421</v>
      </c>
      <c r="U68" s="8">
        <v>121.557217216098</v>
      </c>
      <c r="V68" s="8">
        <v>31.2137612689724</v>
      </c>
      <c r="W68" s="8"/>
      <c r="X68" s="15">
        <v>0.765</v>
      </c>
    </row>
    <row r="69" spans="1:24">
      <c r="A69" s="8">
        <v>5786</v>
      </c>
      <c r="B69" s="9">
        <v>45200</v>
      </c>
      <c r="C69" s="8" t="s">
        <v>221</v>
      </c>
      <c r="D69" s="8">
        <v>121.503089</v>
      </c>
      <c r="E69" s="8">
        <v>31.23655062</v>
      </c>
      <c r="F69" s="8" t="s">
        <v>1275</v>
      </c>
      <c r="G69" s="8" t="s">
        <v>32</v>
      </c>
      <c r="H69" s="13">
        <v>11</v>
      </c>
      <c r="I69" s="8" t="s">
        <v>222</v>
      </c>
      <c r="J69" s="8" t="s">
        <v>23</v>
      </c>
      <c r="K69" s="8" t="s">
        <v>24</v>
      </c>
      <c r="L69" s="8" t="s">
        <v>25</v>
      </c>
      <c r="M69" s="8">
        <v>200</v>
      </c>
      <c r="N69" s="8"/>
      <c r="O69" s="11">
        <v>200</v>
      </c>
      <c r="P69" s="8" t="s">
        <v>51</v>
      </c>
      <c r="Q69" s="8" t="s">
        <v>13</v>
      </c>
      <c r="R69" s="8" t="s">
        <v>1422</v>
      </c>
      <c r="S69" s="8" t="s">
        <v>163</v>
      </c>
      <c r="T69" s="8" t="s">
        <v>163</v>
      </c>
      <c r="U69" s="8">
        <v>121.501201626978</v>
      </c>
      <c r="V69" s="8">
        <v>31.2373094704827</v>
      </c>
      <c r="W69" s="8"/>
      <c r="X69" s="15">
        <v>0.38</v>
      </c>
    </row>
    <row r="70" spans="1:24">
      <c r="A70" s="8">
        <v>5794</v>
      </c>
      <c r="B70" s="9">
        <v>45300</v>
      </c>
      <c r="C70" s="8" t="s">
        <v>129</v>
      </c>
      <c r="D70" s="8">
        <v>121.5469268</v>
      </c>
      <c r="E70" s="8">
        <v>31.22737919</v>
      </c>
      <c r="F70" s="8" t="s">
        <v>1419</v>
      </c>
      <c r="G70" s="8" t="s">
        <v>21</v>
      </c>
      <c r="H70" s="13">
        <v>6.875</v>
      </c>
      <c r="I70" s="8" t="s">
        <v>130</v>
      </c>
      <c r="J70" s="8" t="s">
        <v>23</v>
      </c>
      <c r="K70" s="8" t="s">
        <v>24</v>
      </c>
      <c r="L70" s="8" t="s">
        <v>25</v>
      </c>
      <c r="M70" s="8">
        <v>500</v>
      </c>
      <c r="N70" s="8"/>
      <c r="O70" s="11">
        <v>500</v>
      </c>
      <c r="P70" s="8" t="s">
        <v>43</v>
      </c>
      <c r="Q70" s="8" t="s">
        <v>13</v>
      </c>
      <c r="R70" s="8" t="s">
        <v>1423</v>
      </c>
      <c r="S70" s="8" t="s">
        <v>1424</v>
      </c>
      <c r="T70" s="8" t="s">
        <v>1424</v>
      </c>
      <c r="U70" s="8">
        <v>121.520170454766</v>
      </c>
      <c r="V70" s="8">
        <v>31.2191787878804</v>
      </c>
      <c r="W70" s="8"/>
      <c r="X70" s="15">
        <v>3.54</v>
      </c>
    </row>
    <row r="71" spans="1:24">
      <c r="A71" s="8">
        <v>5839</v>
      </c>
      <c r="B71" s="9">
        <v>45306</v>
      </c>
      <c r="C71" s="8" t="s">
        <v>915</v>
      </c>
      <c r="D71" s="8">
        <v>121.5058828</v>
      </c>
      <c r="E71" s="8">
        <v>31.25318598</v>
      </c>
      <c r="F71" s="8" t="s">
        <v>1312</v>
      </c>
      <c r="G71" s="8" t="s">
        <v>21</v>
      </c>
      <c r="H71" s="13">
        <v>7.33333333333333</v>
      </c>
      <c r="I71" s="8" t="s">
        <v>916</v>
      </c>
      <c r="J71" s="8" t="s">
        <v>42</v>
      </c>
      <c r="K71" s="8" t="s">
        <v>42</v>
      </c>
      <c r="L71" s="8" t="s">
        <v>25</v>
      </c>
      <c r="M71" s="8">
        <v>502</v>
      </c>
      <c r="N71" s="8"/>
      <c r="O71" s="11">
        <v>502</v>
      </c>
      <c r="P71" s="8" t="s">
        <v>51</v>
      </c>
      <c r="Q71" s="8" t="s">
        <v>52</v>
      </c>
      <c r="R71" s="8" t="s">
        <v>1425</v>
      </c>
      <c r="S71" s="8" t="s">
        <v>1426</v>
      </c>
      <c r="T71" s="8" t="s">
        <v>1426</v>
      </c>
      <c r="U71" s="8">
        <v>121.498319715968</v>
      </c>
      <c r="V71" s="8">
        <v>31.2436999465353</v>
      </c>
      <c r="W71" s="8"/>
      <c r="X71" s="15">
        <v>4.605</v>
      </c>
    </row>
    <row r="72" spans="1:24">
      <c r="A72" s="8">
        <v>5795</v>
      </c>
      <c r="B72" s="9">
        <v>45352</v>
      </c>
      <c r="C72" s="8" t="s">
        <v>221</v>
      </c>
      <c r="D72" s="8">
        <v>121.503089</v>
      </c>
      <c r="E72" s="8">
        <v>31.23655062</v>
      </c>
      <c r="F72" s="8" t="s">
        <v>1275</v>
      </c>
      <c r="G72" s="8" t="s">
        <v>32</v>
      </c>
      <c r="H72" s="13">
        <v>11</v>
      </c>
      <c r="I72" s="8" t="s">
        <v>224</v>
      </c>
      <c r="J72" s="8" t="s">
        <v>23</v>
      </c>
      <c r="K72" s="8" t="s">
        <v>24</v>
      </c>
      <c r="L72" s="8" t="s">
        <v>25</v>
      </c>
      <c r="M72" s="8">
        <v>180</v>
      </c>
      <c r="N72" s="8"/>
      <c r="O72" s="11">
        <v>180</v>
      </c>
      <c r="P72" s="8" t="s">
        <v>43</v>
      </c>
      <c r="Q72" s="8" t="s">
        <v>13</v>
      </c>
      <c r="R72" s="8" t="s">
        <v>1427</v>
      </c>
      <c r="S72" s="8" t="s">
        <v>1428</v>
      </c>
      <c r="T72" s="8" t="s">
        <v>308</v>
      </c>
      <c r="U72" s="8">
        <v>121.497935979681</v>
      </c>
      <c r="V72" s="8">
        <v>31.2360662724489</v>
      </c>
      <c r="W72" s="8"/>
      <c r="X72" s="15">
        <v>1.065</v>
      </c>
    </row>
    <row r="73" spans="1:24">
      <c r="A73" s="8">
        <v>5741</v>
      </c>
      <c r="B73" s="9">
        <v>45352.5699884259</v>
      </c>
      <c r="C73" s="8" t="s">
        <v>281</v>
      </c>
      <c r="D73" s="8">
        <v>121.455928321736</v>
      </c>
      <c r="E73" s="8">
        <v>31.163149177406</v>
      </c>
      <c r="F73" s="8" t="s">
        <v>1272</v>
      </c>
      <c r="G73" s="8" t="s">
        <v>21</v>
      </c>
      <c r="H73" s="10">
        <v>6.65625</v>
      </c>
      <c r="I73" s="8" t="s">
        <v>859</v>
      </c>
      <c r="J73" s="8" t="s">
        <v>185</v>
      </c>
      <c r="K73" s="8" t="s">
        <v>185</v>
      </c>
      <c r="L73" s="8" t="s">
        <v>25</v>
      </c>
      <c r="M73" s="8">
        <v>808.06</v>
      </c>
      <c r="N73" s="8"/>
      <c r="O73" s="11">
        <v>808.06</v>
      </c>
      <c r="P73" s="8" t="s">
        <v>43</v>
      </c>
      <c r="Q73" s="8" t="s">
        <v>52</v>
      </c>
      <c r="R73" s="8" t="s">
        <v>1429</v>
      </c>
      <c r="S73" s="8" t="s">
        <v>779</v>
      </c>
      <c r="T73" s="8" t="s">
        <v>779</v>
      </c>
      <c r="U73" s="8">
        <v>121.558505246157</v>
      </c>
      <c r="V73" s="8">
        <v>31.2082539354018</v>
      </c>
      <c r="W73" s="8"/>
      <c r="X73" s="15">
        <v>13.15</v>
      </c>
    </row>
    <row r="74" spans="1:24">
      <c r="A74" s="8">
        <v>6103</v>
      </c>
      <c r="B74" s="9">
        <v>45363</v>
      </c>
      <c r="C74" s="8" t="s">
        <v>708</v>
      </c>
      <c r="D74" s="8">
        <v>121.391217875558</v>
      </c>
      <c r="E74" s="8">
        <v>31.2284548414874</v>
      </c>
      <c r="F74" s="8" t="s">
        <v>1360</v>
      </c>
      <c r="G74" s="8" t="s">
        <v>21</v>
      </c>
      <c r="H74" s="13">
        <v>3.66666666666667</v>
      </c>
      <c r="I74" s="8" t="s">
        <v>718</v>
      </c>
      <c r="J74" s="8" t="s">
        <v>59</v>
      </c>
      <c r="K74" s="8" t="s">
        <v>59</v>
      </c>
      <c r="L74" s="8" t="s">
        <v>25</v>
      </c>
      <c r="M74" s="8">
        <v>1900</v>
      </c>
      <c r="N74" s="8"/>
      <c r="O74" s="11">
        <v>1900</v>
      </c>
      <c r="P74" s="8" t="s">
        <v>26</v>
      </c>
      <c r="Q74" s="8" t="s">
        <v>13</v>
      </c>
      <c r="R74" s="8" t="s">
        <v>1430</v>
      </c>
      <c r="S74" s="8" t="s">
        <v>1431</v>
      </c>
      <c r="T74" s="8" t="s">
        <v>1431</v>
      </c>
      <c r="U74" s="8">
        <v>121.35089530988</v>
      </c>
      <c r="V74" s="8">
        <v>31.2284212130052</v>
      </c>
      <c r="W74" s="8"/>
      <c r="X74" s="15">
        <v>5.485</v>
      </c>
    </row>
    <row r="75" spans="1:24">
      <c r="A75" s="8">
        <v>6065</v>
      </c>
      <c r="B75" s="9">
        <v>45383</v>
      </c>
      <c r="C75" s="8" t="s">
        <v>396</v>
      </c>
      <c r="D75" s="8">
        <v>121.484158</v>
      </c>
      <c r="E75" s="8">
        <v>31.247005</v>
      </c>
      <c r="F75" s="8" t="s">
        <v>1312</v>
      </c>
      <c r="G75" s="8" t="s">
        <v>21</v>
      </c>
      <c r="H75" s="13">
        <v>5.5</v>
      </c>
      <c r="I75" s="8" t="s">
        <v>398</v>
      </c>
      <c r="J75" s="8" t="s">
        <v>142</v>
      </c>
      <c r="K75" s="8" t="s">
        <v>142</v>
      </c>
      <c r="L75" s="8" t="s">
        <v>25</v>
      </c>
      <c r="M75" s="8">
        <v>13000</v>
      </c>
      <c r="N75" s="8"/>
      <c r="O75" s="11">
        <v>13000</v>
      </c>
      <c r="P75" s="8" t="s">
        <v>26</v>
      </c>
      <c r="Q75" s="8" t="s">
        <v>52</v>
      </c>
      <c r="R75" s="8" t="s">
        <v>1432</v>
      </c>
      <c r="S75" s="8" t="s">
        <v>1433</v>
      </c>
      <c r="T75" s="8" t="s">
        <v>1433</v>
      </c>
      <c r="U75" s="8">
        <v>121.493370179263</v>
      </c>
      <c r="V75" s="8">
        <v>31.228449108494</v>
      </c>
      <c r="W75" s="8"/>
      <c r="X75" s="15">
        <v>2.825</v>
      </c>
    </row>
    <row r="76" spans="1:24">
      <c r="A76" s="8">
        <v>5813</v>
      </c>
      <c r="B76" s="9">
        <v>45383</v>
      </c>
      <c r="C76" s="8" t="s">
        <v>294</v>
      </c>
      <c r="D76" s="8">
        <v>121.522408923176</v>
      </c>
      <c r="E76" s="8">
        <v>31.2295236878688</v>
      </c>
      <c r="F76" s="8" t="s">
        <v>1257</v>
      </c>
      <c r="G76" s="8" t="s">
        <v>32</v>
      </c>
      <c r="H76" s="10">
        <v>12.8333333333333</v>
      </c>
      <c r="I76" s="8" t="s">
        <v>295</v>
      </c>
      <c r="J76" s="8" t="s">
        <v>142</v>
      </c>
      <c r="K76" s="8" t="s">
        <v>142</v>
      </c>
      <c r="L76" s="8" t="s">
        <v>25</v>
      </c>
      <c r="M76" s="8">
        <v>183.44</v>
      </c>
      <c r="N76" s="8"/>
      <c r="O76" s="11">
        <v>183.44</v>
      </c>
      <c r="P76" s="8" t="s">
        <v>37</v>
      </c>
      <c r="Q76" s="8" t="s">
        <v>13</v>
      </c>
      <c r="R76" s="8" t="s">
        <v>1434</v>
      </c>
      <c r="S76" s="8" t="s">
        <v>1435</v>
      </c>
      <c r="T76" s="8" t="s">
        <v>1435</v>
      </c>
      <c r="U76" s="8">
        <v>121.527513362251</v>
      </c>
      <c r="V76" s="8">
        <v>31.219066479144</v>
      </c>
      <c r="W76" s="8"/>
      <c r="X76" s="15">
        <v>1.42</v>
      </c>
    </row>
    <row r="77" spans="1:24">
      <c r="A77" s="8">
        <v>5844</v>
      </c>
      <c r="B77" s="9">
        <v>45413</v>
      </c>
      <c r="C77" s="8" t="s">
        <v>782</v>
      </c>
      <c r="D77" s="8">
        <v>121.429883190022</v>
      </c>
      <c r="E77" s="8">
        <v>31.1964452654212</v>
      </c>
      <c r="F77" s="8" t="s">
        <v>1436</v>
      </c>
      <c r="G77" s="8" t="s">
        <v>32</v>
      </c>
      <c r="H77" s="13">
        <v>7.79166666666667</v>
      </c>
      <c r="I77" s="8" t="s">
        <v>786</v>
      </c>
      <c r="J77" s="8" t="s">
        <v>23</v>
      </c>
      <c r="K77" s="8" t="s">
        <v>24</v>
      </c>
      <c r="L77" s="8" t="s">
        <v>25</v>
      </c>
      <c r="M77" s="8">
        <v>1000</v>
      </c>
      <c r="N77" s="8"/>
      <c r="O77" s="11">
        <v>1000</v>
      </c>
      <c r="P77" s="8" t="s">
        <v>51</v>
      </c>
      <c r="Q77" s="8" t="s">
        <v>52</v>
      </c>
      <c r="R77" s="8" t="s">
        <v>1437</v>
      </c>
      <c r="S77" s="8" t="s">
        <v>1078</v>
      </c>
      <c r="T77" s="8" t="s">
        <v>1078</v>
      </c>
      <c r="U77" s="8">
        <v>121.443236140949</v>
      </c>
      <c r="V77" s="8">
        <v>31.2247903100914</v>
      </c>
      <c r="W77" s="8"/>
      <c r="X77" s="15">
        <v>4.575</v>
      </c>
    </row>
    <row r="78" spans="1:24">
      <c r="A78" s="8">
        <v>5902</v>
      </c>
      <c r="B78" s="9">
        <v>45413</v>
      </c>
      <c r="C78" s="8" t="s">
        <v>466</v>
      </c>
      <c r="D78" s="8">
        <v>121.534892407912</v>
      </c>
      <c r="E78" s="8">
        <v>31.2234112502917</v>
      </c>
      <c r="F78" s="8" t="s">
        <v>1257</v>
      </c>
      <c r="G78" s="8" t="s">
        <v>32</v>
      </c>
      <c r="H78" s="13">
        <v>5.95833333333333</v>
      </c>
      <c r="I78" s="8" t="s">
        <v>468</v>
      </c>
      <c r="J78" s="8" t="s">
        <v>469</v>
      </c>
      <c r="K78" s="8" t="s">
        <v>470</v>
      </c>
      <c r="L78" s="8" t="s">
        <v>25</v>
      </c>
      <c r="M78" s="8">
        <v>400</v>
      </c>
      <c r="N78" s="8"/>
      <c r="O78" s="11">
        <v>400</v>
      </c>
      <c r="P78" s="8" t="s">
        <v>240</v>
      </c>
      <c r="Q78" s="8" t="s">
        <v>13</v>
      </c>
      <c r="R78" s="8" t="s">
        <v>1438</v>
      </c>
      <c r="S78" s="8" t="s">
        <v>1439</v>
      </c>
      <c r="T78" s="8" t="s">
        <v>1440</v>
      </c>
      <c r="U78" s="8">
        <v>121.531079795933</v>
      </c>
      <c r="V78" s="8">
        <v>31.2148885401313</v>
      </c>
      <c r="W78" s="8"/>
      <c r="X78" s="15">
        <v>1.52</v>
      </c>
    </row>
    <row r="79" spans="1:24">
      <c r="A79" s="8">
        <v>5861</v>
      </c>
      <c r="B79" s="9">
        <v>45413</v>
      </c>
      <c r="C79" s="8" t="s">
        <v>434</v>
      </c>
      <c r="D79" s="8">
        <v>121.4743879</v>
      </c>
      <c r="E79" s="8">
        <v>31.22320028</v>
      </c>
      <c r="F79" s="8" t="s">
        <v>1334</v>
      </c>
      <c r="G79" s="8" t="s">
        <v>32</v>
      </c>
      <c r="H79" s="10">
        <v>10.5416666666667</v>
      </c>
      <c r="I79" s="8" t="s">
        <v>435</v>
      </c>
      <c r="J79" s="8" t="s">
        <v>23</v>
      </c>
      <c r="K79" s="8" t="s">
        <v>24</v>
      </c>
      <c r="L79" s="8" t="s">
        <v>25</v>
      </c>
      <c r="M79" s="8">
        <v>156.85</v>
      </c>
      <c r="N79" s="8"/>
      <c r="O79" s="11">
        <v>156.85</v>
      </c>
      <c r="P79" s="8" t="s">
        <v>37</v>
      </c>
      <c r="Q79" s="8" t="s">
        <v>52</v>
      </c>
      <c r="R79" s="8" t="s">
        <v>1441</v>
      </c>
      <c r="S79" s="8" t="s">
        <v>1442</v>
      </c>
      <c r="T79" s="8" t="s">
        <v>1443</v>
      </c>
      <c r="U79" s="8">
        <v>121.472067271408</v>
      </c>
      <c r="V79" s="8">
        <v>31.2342243308694</v>
      </c>
      <c r="W79" s="8"/>
      <c r="X79" s="15">
        <v>1.82</v>
      </c>
    </row>
    <row r="80" spans="1:24">
      <c r="A80" s="8">
        <v>5968</v>
      </c>
      <c r="B80" s="9">
        <v>45416</v>
      </c>
      <c r="C80" s="8" t="s">
        <v>1156</v>
      </c>
      <c r="D80" s="8">
        <v>121.5260859</v>
      </c>
      <c r="E80" s="8">
        <v>31.22380716</v>
      </c>
      <c r="F80" s="8" t="s">
        <v>1257</v>
      </c>
      <c r="G80" s="8" t="s">
        <v>32</v>
      </c>
      <c r="H80" s="13">
        <v>5.95833333333333</v>
      </c>
      <c r="I80" s="8" t="s">
        <v>1158</v>
      </c>
      <c r="J80" s="8" t="s">
        <v>23</v>
      </c>
      <c r="K80" s="8" t="s">
        <v>24</v>
      </c>
      <c r="L80" s="8" t="s">
        <v>25</v>
      </c>
      <c r="M80" s="8">
        <v>1000</v>
      </c>
      <c r="N80" s="8"/>
      <c r="O80" s="11">
        <v>1000</v>
      </c>
      <c r="P80" s="8" t="s">
        <v>240</v>
      </c>
      <c r="Q80" s="8" t="s">
        <v>52</v>
      </c>
      <c r="R80" s="8" t="s">
        <v>1444</v>
      </c>
      <c r="S80" s="8" t="s">
        <v>1445</v>
      </c>
      <c r="T80" s="8" t="s">
        <v>1446</v>
      </c>
      <c r="U80" s="8">
        <v>121.522860303051</v>
      </c>
      <c r="V80" s="8">
        <v>31.2318371893308</v>
      </c>
      <c r="W80" s="8"/>
      <c r="X80" s="15">
        <v>1.75</v>
      </c>
    </row>
    <row r="81" spans="1:24">
      <c r="A81" s="8">
        <v>5826</v>
      </c>
      <c r="B81" s="9">
        <v>45432</v>
      </c>
      <c r="C81" s="8" t="s">
        <v>1396</v>
      </c>
      <c r="D81" s="8">
        <v>121.4689464042</v>
      </c>
      <c r="E81" s="8">
        <v>31.1553650124</v>
      </c>
      <c r="F81" s="8" t="s">
        <v>1300</v>
      </c>
      <c r="G81" s="8" t="s">
        <v>21</v>
      </c>
      <c r="H81" s="13">
        <v>4.85833333333333</v>
      </c>
      <c r="I81" s="8" t="s">
        <v>592</v>
      </c>
      <c r="J81" s="8" t="s">
        <v>42</v>
      </c>
      <c r="K81" s="8" t="s">
        <v>42</v>
      </c>
      <c r="L81" s="8" t="s">
        <v>25</v>
      </c>
      <c r="M81" s="8">
        <v>13000</v>
      </c>
      <c r="N81" s="8"/>
      <c r="O81" s="11">
        <v>13000</v>
      </c>
      <c r="P81" s="8" t="s">
        <v>43</v>
      </c>
      <c r="Q81" s="8" t="s">
        <v>13</v>
      </c>
      <c r="R81" s="8" t="s">
        <v>1447</v>
      </c>
      <c r="S81" s="8" t="s">
        <v>1448</v>
      </c>
      <c r="T81" s="8" t="s">
        <v>1448</v>
      </c>
      <c r="U81" s="8">
        <v>121.529993569238</v>
      </c>
      <c r="V81" s="8">
        <v>31.2255507669163</v>
      </c>
      <c r="W81" s="8"/>
      <c r="X81" s="15">
        <v>12.025</v>
      </c>
    </row>
    <row r="82" spans="1:24">
      <c r="A82" s="8">
        <v>5905</v>
      </c>
      <c r="B82" s="9">
        <v>45443</v>
      </c>
      <c r="C82" s="8" t="s">
        <v>139</v>
      </c>
      <c r="D82" s="8">
        <v>121.501246423391</v>
      </c>
      <c r="E82" s="8">
        <v>31.2355807061026</v>
      </c>
      <c r="F82" s="8" t="s">
        <v>1275</v>
      </c>
      <c r="G82" s="8" t="s">
        <v>32</v>
      </c>
      <c r="H82" s="10">
        <v>4.9</v>
      </c>
      <c r="I82" s="8" t="s">
        <v>141</v>
      </c>
      <c r="J82" s="8" t="s">
        <v>142</v>
      </c>
      <c r="K82" s="8" t="s">
        <v>142</v>
      </c>
      <c r="L82" s="8" t="s">
        <v>25</v>
      </c>
      <c r="M82" s="8">
        <v>3700</v>
      </c>
      <c r="N82" s="8"/>
      <c r="O82" s="11">
        <v>3700</v>
      </c>
      <c r="P82" s="8" t="s">
        <v>26</v>
      </c>
      <c r="Q82" s="8" t="s">
        <v>52</v>
      </c>
      <c r="R82" s="8" t="s">
        <v>1449</v>
      </c>
      <c r="S82" s="8" t="s">
        <v>437</v>
      </c>
      <c r="T82" s="8" t="s">
        <v>437</v>
      </c>
      <c r="U82" s="8">
        <v>121.495813232605</v>
      </c>
      <c r="V82" s="8">
        <v>31.2372293772506</v>
      </c>
      <c r="W82" s="8"/>
      <c r="X82" s="15">
        <v>1.165</v>
      </c>
    </row>
    <row r="83" spans="1:24">
      <c r="A83" s="8">
        <v>5963</v>
      </c>
      <c r="B83" s="9">
        <v>45444</v>
      </c>
      <c r="C83" s="8" t="s">
        <v>319</v>
      </c>
      <c r="D83" s="8">
        <v>121.524638350166</v>
      </c>
      <c r="E83" s="8">
        <v>31.2457751214977</v>
      </c>
      <c r="F83" s="8" t="s">
        <v>1344</v>
      </c>
      <c r="G83" s="8" t="s">
        <v>21</v>
      </c>
      <c r="H83" s="13">
        <v>5.31666666666667</v>
      </c>
      <c r="I83" s="8" t="s">
        <v>321</v>
      </c>
      <c r="J83" s="8" t="s">
        <v>182</v>
      </c>
      <c r="K83" s="8" t="s">
        <v>182</v>
      </c>
      <c r="L83" s="8" t="s">
        <v>25</v>
      </c>
      <c r="M83" s="8">
        <v>1900</v>
      </c>
      <c r="N83" s="8"/>
      <c r="O83" s="11">
        <v>1900</v>
      </c>
      <c r="P83" s="8" t="s">
        <v>26</v>
      </c>
      <c r="Q83" s="8" t="s">
        <v>52</v>
      </c>
      <c r="R83" s="8" t="s">
        <v>1450</v>
      </c>
      <c r="S83" s="8" t="s">
        <v>1451</v>
      </c>
      <c r="T83" s="8" t="s">
        <v>1452</v>
      </c>
      <c r="U83" s="8">
        <v>121.521640148956</v>
      </c>
      <c r="V83" s="8">
        <v>31.24535770921</v>
      </c>
      <c r="W83" s="8"/>
      <c r="X83" s="15">
        <v>0.28</v>
      </c>
    </row>
    <row r="84" spans="1:24">
      <c r="A84" s="8">
        <v>5950</v>
      </c>
      <c r="B84" s="9">
        <v>45444</v>
      </c>
      <c r="C84" s="8" t="s">
        <v>294</v>
      </c>
      <c r="D84" s="8">
        <v>121.522408923176</v>
      </c>
      <c r="E84" s="8">
        <v>31.2295236878688</v>
      </c>
      <c r="F84" s="8" t="s">
        <v>1257</v>
      </c>
      <c r="G84" s="8" t="s">
        <v>32</v>
      </c>
      <c r="H84" s="10">
        <v>10.5416666666667</v>
      </c>
      <c r="I84" s="8" t="s">
        <v>300</v>
      </c>
      <c r="J84" s="8" t="s">
        <v>23</v>
      </c>
      <c r="K84" s="8" t="s">
        <v>24</v>
      </c>
      <c r="L84" s="8" t="s">
        <v>25</v>
      </c>
      <c r="M84" s="8">
        <v>377</v>
      </c>
      <c r="N84" s="8"/>
      <c r="O84" s="11">
        <v>377</v>
      </c>
      <c r="P84" s="8" t="s">
        <v>26</v>
      </c>
      <c r="Q84" s="8" t="s">
        <v>13</v>
      </c>
      <c r="R84" s="8" t="s">
        <v>1453</v>
      </c>
      <c r="S84" s="8" t="s">
        <v>1454</v>
      </c>
      <c r="T84" s="8" t="s">
        <v>1455</v>
      </c>
      <c r="U84" s="8">
        <v>121.510891731483</v>
      </c>
      <c r="V84" s="8">
        <v>31.2297875225604</v>
      </c>
      <c r="W84" s="8"/>
      <c r="X84" s="15">
        <v>1.735</v>
      </c>
    </row>
    <row r="85" spans="1:24">
      <c r="A85" s="8">
        <v>5901</v>
      </c>
      <c r="B85" s="9">
        <v>45457</v>
      </c>
      <c r="C85" s="8" t="s">
        <v>281</v>
      </c>
      <c r="D85" s="8">
        <v>121.455928321736</v>
      </c>
      <c r="E85" s="8">
        <v>31.163149177406</v>
      </c>
      <c r="F85" s="8" t="s">
        <v>1272</v>
      </c>
      <c r="G85" s="8" t="s">
        <v>21</v>
      </c>
      <c r="H85" s="13">
        <v>5.5</v>
      </c>
      <c r="I85" s="8" t="s">
        <v>847</v>
      </c>
      <c r="J85" s="8" t="s">
        <v>59</v>
      </c>
      <c r="K85" s="8" t="s">
        <v>59</v>
      </c>
      <c r="L85" s="8" t="s">
        <v>25</v>
      </c>
      <c r="M85" s="8">
        <v>1500</v>
      </c>
      <c r="N85" s="8"/>
      <c r="O85" s="11">
        <v>1500</v>
      </c>
      <c r="P85" s="8" t="s">
        <v>26</v>
      </c>
      <c r="Q85" s="8" t="s">
        <v>13</v>
      </c>
      <c r="R85" s="8" t="s">
        <v>1456</v>
      </c>
      <c r="S85" s="8" t="s">
        <v>1457</v>
      </c>
      <c r="T85" s="8" t="s">
        <v>1457</v>
      </c>
      <c r="U85" s="8">
        <v>121.452955691733</v>
      </c>
      <c r="V85" s="8">
        <v>31.168072900944</v>
      </c>
      <c r="W85" s="8"/>
      <c r="X85" s="15">
        <v>1.125</v>
      </c>
    </row>
    <row r="86" spans="1:24">
      <c r="A86" s="8">
        <v>6046</v>
      </c>
      <c r="B86" s="9">
        <v>45474</v>
      </c>
      <c r="C86" s="8" t="s">
        <v>180</v>
      </c>
      <c r="D86" s="8">
        <v>121.456623924091</v>
      </c>
      <c r="E86" s="8">
        <v>31.239371056045</v>
      </c>
      <c r="F86" s="8" t="s">
        <v>1293</v>
      </c>
      <c r="G86" s="8" t="s">
        <v>32</v>
      </c>
      <c r="H86" s="10">
        <v>4.58333333333333</v>
      </c>
      <c r="I86" s="8" t="s">
        <v>189</v>
      </c>
      <c r="J86" s="8" t="s">
        <v>182</v>
      </c>
      <c r="K86" s="8" t="s">
        <v>182</v>
      </c>
      <c r="L86" s="8" t="s">
        <v>25</v>
      </c>
      <c r="M86" s="8">
        <v>13503.84</v>
      </c>
      <c r="N86" s="8"/>
      <c r="O86" s="11">
        <v>13503.84</v>
      </c>
      <c r="P86" s="8" t="s">
        <v>37</v>
      </c>
      <c r="Q86" s="8" t="s">
        <v>52</v>
      </c>
      <c r="R86" s="8" t="s">
        <v>1458</v>
      </c>
      <c r="S86" s="8" t="s">
        <v>1459</v>
      </c>
      <c r="T86" s="8" t="s">
        <v>1459</v>
      </c>
      <c r="U86" s="8">
        <v>121.474168976028</v>
      </c>
      <c r="V86" s="8">
        <v>31.2730090580351</v>
      </c>
      <c r="W86" s="8"/>
      <c r="X86" s="15">
        <v>5.375</v>
      </c>
    </row>
    <row r="87" spans="1:24">
      <c r="A87" s="8">
        <v>6033</v>
      </c>
      <c r="B87" s="9">
        <v>45474</v>
      </c>
      <c r="C87" s="8" t="s">
        <v>180</v>
      </c>
      <c r="D87" s="8">
        <v>121.456623924091</v>
      </c>
      <c r="E87" s="8">
        <v>31.239371056045</v>
      </c>
      <c r="F87" s="8" t="s">
        <v>1293</v>
      </c>
      <c r="G87" s="8" t="s">
        <v>32</v>
      </c>
      <c r="H87" s="10">
        <v>4.58333333333333</v>
      </c>
      <c r="I87" s="8" t="s">
        <v>181</v>
      </c>
      <c r="J87" s="8" t="s">
        <v>182</v>
      </c>
      <c r="K87" s="8" t="s">
        <v>182</v>
      </c>
      <c r="L87" s="8" t="s">
        <v>25</v>
      </c>
      <c r="M87" s="8">
        <v>4501.28</v>
      </c>
      <c r="N87" s="8"/>
      <c r="O87" s="11">
        <v>4501.28</v>
      </c>
      <c r="P87" s="8" t="s">
        <v>37</v>
      </c>
      <c r="Q87" s="8" t="s">
        <v>13</v>
      </c>
      <c r="R87" s="8" t="s">
        <v>187</v>
      </c>
      <c r="S87" s="8" t="s">
        <v>1460</v>
      </c>
      <c r="T87" s="8" t="s">
        <v>1460</v>
      </c>
      <c r="U87" s="8">
        <v>121.474168976028</v>
      </c>
      <c r="V87" s="8">
        <v>31.2730090580351</v>
      </c>
      <c r="W87" s="8"/>
      <c r="X87" s="15">
        <v>5.375</v>
      </c>
    </row>
    <row r="88" spans="1:24">
      <c r="A88" s="8">
        <v>6033</v>
      </c>
      <c r="B88" s="9">
        <v>45474</v>
      </c>
      <c r="C88" s="8" t="s">
        <v>180</v>
      </c>
      <c r="D88" s="8">
        <v>121.456623924091</v>
      </c>
      <c r="E88" s="8">
        <v>31.239371056045</v>
      </c>
      <c r="F88" s="8" t="s">
        <v>1293</v>
      </c>
      <c r="G88" s="8" t="s">
        <v>32</v>
      </c>
      <c r="H88" s="10">
        <v>4.58333333333333</v>
      </c>
      <c r="I88" s="8" t="s">
        <v>181</v>
      </c>
      <c r="J88" s="8" t="s">
        <v>182</v>
      </c>
      <c r="K88" s="8" t="s">
        <v>182</v>
      </c>
      <c r="L88" s="8" t="s">
        <v>25</v>
      </c>
      <c r="M88" s="8">
        <v>4501.28</v>
      </c>
      <c r="N88" s="8"/>
      <c r="O88" s="11">
        <v>4501.28</v>
      </c>
      <c r="P88" s="8" t="s">
        <v>37</v>
      </c>
      <c r="Q88" s="8" t="s">
        <v>52</v>
      </c>
      <c r="R88" s="8" t="s">
        <v>191</v>
      </c>
      <c r="S88" s="8" t="s">
        <v>1461</v>
      </c>
      <c r="T88" s="8" t="s">
        <v>1461</v>
      </c>
      <c r="U88" s="8">
        <v>121.410432262109</v>
      </c>
      <c r="V88" s="8">
        <v>31.2181753435479</v>
      </c>
      <c r="W88" s="8"/>
      <c r="X88" s="15">
        <v>5.96</v>
      </c>
    </row>
    <row r="89" spans="1:24">
      <c r="A89" s="8">
        <v>6033</v>
      </c>
      <c r="B89" s="9">
        <v>45474</v>
      </c>
      <c r="C89" s="8" t="s">
        <v>180</v>
      </c>
      <c r="D89" s="8">
        <v>121.456623924091</v>
      </c>
      <c r="E89" s="8">
        <v>31.239371056045</v>
      </c>
      <c r="F89" s="8" t="s">
        <v>1293</v>
      </c>
      <c r="G89" s="8" t="s">
        <v>32</v>
      </c>
      <c r="H89" s="10">
        <v>4.58333333333333</v>
      </c>
      <c r="I89" s="8" t="s">
        <v>181</v>
      </c>
      <c r="J89" s="8" t="s">
        <v>182</v>
      </c>
      <c r="K89" s="8" t="s">
        <v>182</v>
      </c>
      <c r="L89" s="8" t="s">
        <v>25</v>
      </c>
      <c r="M89" s="8">
        <v>4501.28</v>
      </c>
      <c r="N89" s="8"/>
      <c r="O89" s="11">
        <v>4501.28</v>
      </c>
      <c r="P89" s="8" t="s">
        <v>37</v>
      </c>
      <c r="Q89" s="8" t="s">
        <v>13</v>
      </c>
      <c r="R89" s="8" t="s">
        <v>183</v>
      </c>
      <c r="S89" s="8" t="s">
        <v>373</v>
      </c>
      <c r="T89" s="8" t="s">
        <v>373</v>
      </c>
      <c r="U89" s="8">
        <v>121.465755814188</v>
      </c>
      <c r="V89" s="8">
        <v>31.2342861988258</v>
      </c>
      <c r="W89" s="8"/>
      <c r="X89" s="15">
        <v>2.18</v>
      </c>
    </row>
    <row r="90" spans="1:24">
      <c r="A90" s="8">
        <v>6058</v>
      </c>
      <c r="B90" s="9">
        <v>45474</v>
      </c>
      <c r="C90" s="8" t="s">
        <v>319</v>
      </c>
      <c r="D90" s="8">
        <v>121.524638350166</v>
      </c>
      <c r="E90" s="8">
        <v>31.2457751214977</v>
      </c>
      <c r="F90" s="8" t="s">
        <v>1344</v>
      </c>
      <c r="G90" s="8" t="s">
        <v>21</v>
      </c>
      <c r="H90" s="10">
        <v>5.15</v>
      </c>
      <c r="I90" s="8" t="s">
        <v>325</v>
      </c>
      <c r="J90" s="8" t="s">
        <v>286</v>
      </c>
      <c r="K90" s="8" t="s">
        <v>24</v>
      </c>
      <c r="L90" s="8" t="s">
        <v>25</v>
      </c>
      <c r="M90" s="8">
        <v>1678.43</v>
      </c>
      <c r="N90" s="8"/>
      <c r="O90" s="11">
        <v>1678.43</v>
      </c>
      <c r="P90" s="8" t="s">
        <v>37</v>
      </c>
      <c r="Q90" s="8" t="s">
        <v>52</v>
      </c>
      <c r="R90" s="8" t="s">
        <v>1462</v>
      </c>
      <c r="S90" s="8" t="s">
        <v>1463</v>
      </c>
      <c r="T90" s="8" t="s">
        <v>1464</v>
      </c>
      <c r="U90" s="8">
        <v>121.521749824961</v>
      </c>
      <c r="V90" s="8">
        <v>31.2296901764174</v>
      </c>
      <c r="W90" s="8"/>
      <c r="X90" s="15">
        <v>2.81</v>
      </c>
    </row>
    <row r="91" spans="1:24">
      <c r="A91" s="8">
        <v>6053</v>
      </c>
      <c r="B91" s="9">
        <v>45474</v>
      </c>
      <c r="C91" s="8" t="s">
        <v>566</v>
      </c>
      <c r="D91" s="8">
        <v>121.4772355</v>
      </c>
      <c r="E91" s="8">
        <v>31.15562848</v>
      </c>
      <c r="F91" s="8" t="s">
        <v>1300</v>
      </c>
      <c r="G91" s="8" t="s">
        <v>21</v>
      </c>
      <c r="H91" s="10">
        <v>6.14166666666667</v>
      </c>
      <c r="I91" s="8" t="s">
        <v>567</v>
      </c>
      <c r="J91" s="8" t="s">
        <v>23</v>
      </c>
      <c r="K91" s="8" t="s">
        <v>24</v>
      </c>
      <c r="L91" s="8" t="s">
        <v>25</v>
      </c>
      <c r="M91" s="8">
        <v>786.6</v>
      </c>
      <c r="N91" s="8"/>
      <c r="O91" s="11">
        <v>786.6</v>
      </c>
      <c r="P91" s="8" t="s">
        <v>37</v>
      </c>
      <c r="Q91" s="8" t="s">
        <v>13</v>
      </c>
      <c r="R91" s="8" t="s">
        <v>1465</v>
      </c>
      <c r="S91" s="8" t="s">
        <v>1466</v>
      </c>
      <c r="T91" s="8" t="s">
        <v>1466</v>
      </c>
      <c r="U91" s="8">
        <v>121.47287672798</v>
      </c>
      <c r="V91" s="8">
        <v>31.1550546750325</v>
      </c>
      <c r="W91" s="8"/>
      <c r="X91" s="15">
        <v>1.145</v>
      </c>
    </row>
    <row r="92" spans="1:24">
      <c r="A92" s="8">
        <v>6059</v>
      </c>
      <c r="B92" s="9">
        <v>45474</v>
      </c>
      <c r="C92" s="8" t="s">
        <v>319</v>
      </c>
      <c r="D92" s="8">
        <v>121.524638350166</v>
      </c>
      <c r="E92" s="8">
        <v>31.2457751214977</v>
      </c>
      <c r="F92" s="8" t="s">
        <v>1344</v>
      </c>
      <c r="G92" s="8" t="s">
        <v>21</v>
      </c>
      <c r="H92" s="10">
        <v>5.5</v>
      </c>
      <c r="I92" s="8" t="s">
        <v>327</v>
      </c>
      <c r="J92" s="8" t="s">
        <v>286</v>
      </c>
      <c r="K92" s="8" t="s">
        <v>24</v>
      </c>
      <c r="L92" s="8" t="s">
        <v>25</v>
      </c>
      <c r="M92" s="8">
        <v>281.78</v>
      </c>
      <c r="N92" s="8"/>
      <c r="O92" s="11">
        <v>281.78</v>
      </c>
      <c r="P92" s="8" t="s">
        <v>37</v>
      </c>
      <c r="Q92" s="8" t="s">
        <v>52</v>
      </c>
      <c r="R92" s="8" t="s">
        <v>1462</v>
      </c>
      <c r="S92" s="8" t="s">
        <v>1463</v>
      </c>
      <c r="T92" s="8" t="s">
        <v>1464</v>
      </c>
      <c r="U92" s="8">
        <v>121.521749824961</v>
      </c>
      <c r="V92" s="8">
        <v>31.2296901764174</v>
      </c>
      <c r="W92" s="8"/>
      <c r="X92" s="15">
        <v>2.81</v>
      </c>
    </row>
    <row r="93" spans="1:24">
      <c r="A93" s="8">
        <v>6016</v>
      </c>
      <c r="B93" s="9">
        <v>45490</v>
      </c>
      <c r="C93" s="8" t="s">
        <v>403</v>
      </c>
      <c r="D93" s="8">
        <v>121.454154040947</v>
      </c>
      <c r="E93" s="8">
        <v>31.24878673169</v>
      </c>
      <c r="F93" s="8" t="s">
        <v>1467</v>
      </c>
      <c r="G93" s="8" t="s">
        <v>21</v>
      </c>
      <c r="H93" s="13">
        <v>4.58333333333333</v>
      </c>
      <c r="I93" s="8" t="s">
        <v>413</v>
      </c>
      <c r="J93" s="8" t="s">
        <v>182</v>
      </c>
      <c r="K93" s="8" t="s">
        <v>182</v>
      </c>
      <c r="L93" s="8" t="s">
        <v>25</v>
      </c>
      <c r="M93" s="8">
        <v>4500</v>
      </c>
      <c r="N93" s="8"/>
      <c r="O93" s="11">
        <v>4500</v>
      </c>
      <c r="P93" s="8" t="s">
        <v>43</v>
      </c>
      <c r="Q93" s="8" t="s">
        <v>13</v>
      </c>
      <c r="R93" s="8" t="s">
        <v>1468</v>
      </c>
      <c r="S93" s="8" t="s">
        <v>1469</v>
      </c>
      <c r="T93" s="8" t="s">
        <v>1469</v>
      </c>
      <c r="U93" s="8">
        <v>121.452369500037</v>
      </c>
      <c r="V93" s="8">
        <v>31.2446554869926</v>
      </c>
      <c r="W93" s="8"/>
      <c r="X93" s="15">
        <v>0.915</v>
      </c>
    </row>
    <row r="94" spans="1:24">
      <c r="A94" s="8">
        <v>6072</v>
      </c>
      <c r="B94" s="9">
        <v>45505</v>
      </c>
      <c r="C94" s="8" t="s">
        <v>319</v>
      </c>
      <c r="D94" s="8">
        <v>121.524638350166</v>
      </c>
      <c r="E94" s="8">
        <v>31.2457751214977</v>
      </c>
      <c r="F94" s="8" t="s">
        <v>1344</v>
      </c>
      <c r="G94" s="8" t="s">
        <v>21</v>
      </c>
      <c r="H94" s="13">
        <v>5.13333333333333</v>
      </c>
      <c r="I94" s="8" t="s">
        <v>328</v>
      </c>
      <c r="J94" s="8" t="s">
        <v>42</v>
      </c>
      <c r="K94" s="8" t="s">
        <v>42</v>
      </c>
      <c r="L94" s="8" t="s">
        <v>25</v>
      </c>
      <c r="M94" s="8">
        <v>1900</v>
      </c>
      <c r="N94" s="8"/>
      <c r="O94" s="11">
        <v>1900</v>
      </c>
      <c r="P94" s="8" t="s">
        <v>240</v>
      </c>
      <c r="Q94" s="8" t="s">
        <v>13</v>
      </c>
      <c r="R94" s="8" t="s">
        <v>1470</v>
      </c>
      <c r="S94" s="8" t="s">
        <v>1471</v>
      </c>
      <c r="T94" s="8" t="s">
        <v>1471</v>
      </c>
      <c r="U94" s="8">
        <v>121.531094709676</v>
      </c>
      <c r="V94" s="8">
        <v>31.2284461790924</v>
      </c>
      <c r="W94" s="8"/>
      <c r="X94" s="15">
        <v>3.075</v>
      </c>
    </row>
    <row r="95" spans="1:24">
      <c r="A95" s="8">
        <v>6118</v>
      </c>
      <c r="B95" s="9">
        <v>45524</v>
      </c>
      <c r="C95" s="8" t="s">
        <v>55</v>
      </c>
      <c r="D95" s="8">
        <v>121.419432374438</v>
      </c>
      <c r="E95" s="8">
        <v>31.2002448888404</v>
      </c>
      <c r="F95" s="8" t="s">
        <v>1286</v>
      </c>
      <c r="G95" s="8" t="s">
        <v>32</v>
      </c>
      <c r="H95" s="13">
        <v>8.70833333333333</v>
      </c>
      <c r="I95" s="8" t="s">
        <v>58</v>
      </c>
      <c r="J95" s="8" t="s">
        <v>59</v>
      </c>
      <c r="K95" s="8" t="s">
        <v>59</v>
      </c>
      <c r="L95" s="8" t="s">
        <v>25</v>
      </c>
      <c r="M95" s="8">
        <v>6500</v>
      </c>
      <c r="N95" s="8"/>
      <c r="O95" s="11">
        <v>6500</v>
      </c>
      <c r="P95" s="8" t="s">
        <v>43</v>
      </c>
      <c r="Q95" s="8" t="s">
        <v>13</v>
      </c>
      <c r="R95" s="8" t="s">
        <v>1472</v>
      </c>
      <c r="S95" s="8" t="s">
        <v>1473</v>
      </c>
      <c r="T95" s="8" t="s">
        <v>1473</v>
      </c>
      <c r="U95" s="8">
        <v>121.355829601534</v>
      </c>
      <c r="V95" s="8">
        <v>31.2235277548649</v>
      </c>
      <c r="W95" s="8"/>
      <c r="X95" s="15">
        <v>7.445</v>
      </c>
    </row>
    <row r="96" spans="1:24">
      <c r="A96" s="8">
        <v>6134</v>
      </c>
      <c r="B96" s="9">
        <v>45533</v>
      </c>
      <c r="C96" s="8" t="s">
        <v>18</v>
      </c>
      <c r="D96" s="8">
        <v>121.5439714</v>
      </c>
      <c r="E96" s="8">
        <v>31.22873883</v>
      </c>
      <c r="F96" s="8" t="s">
        <v>1419</v>
      </c>
      <c r="G96" s="8" t="s">
        <v>21</v>
      </c>
      <c r="H96" s="10">
        <v>5.13333333333333</v>
      </c>
      <c r="I96" s="8" t="s">
        <v>22</v>
      </c>
      <c r="J96" s="8" t="s">
        <v>23</v>
      </c>
      <c r="K96" s="8" t="s">
        <v>24</v>
      </c>
      <c r="L96" s="8" t="s">
        <v>25</v>
      </c>
      <c r="M96" s="8">
        <v>500</v>
      </c>
      <c r="N96" s="8"/>
      <c r="O96" s="11">
        <v>500</v>
      </c>
      <c r="P96" s="8" t="s">
        <v>26</v>
      </c>
      <c r="Q96" s="8" t="s">
        <v>13</v>
      </c>
      <c r="R96" s="8" t="s">
        <v>1474</v>
      </c>
      <c r="S96" s="8" t="s">
        <v>1475</v>
      </c>
      <c r="T96" s="8" t="s">
        <v>1475</v>
      </c>
      <c r="U96" s="8">
        <v>121.516008994711</v>
      </c>
      <c r="V96" s="8">
        <v>31.2313965654966</v>
      </c>
      <c r="W96" s="8"/>
      <c r="X96" s="15">
        <v>4.02</v>
      </c>
    </row>
    <row r="97" spans="7:29">
      <c r="G97" s="20" t="s">
        <v>1476</v>
      </c>
      <c r="H97" s="21"/>
      <c r="I97" s="21"/>
      <c r="AB97" s="32"/>
    </row>
    <row r="98" spans="7:29">
      <c r="G98" s="22" t="s">
        <v>1477</v>
      </c>
      <c r="H98" s="21">
        <f>COUNTIF($H$2:$H$96,"&lt;5")</f>
        <v>10</v>
      </c>
      <c r="I98" s="23">
        <f>H98/95</f>
        <v>0.105263157894737</v>
      </c>
      <c r="R98" t="s">
        <v>13</v>
      </c>
      <c r="S98" t="s">
        <v>1478</v>
      </c>
      <c r="T98" t="s">
        <v>1479</v>
      </c>
      <c r="Z98" s="24" t="s">
        <v>1480</v>
      </c>
      <c r="AA98" s="25">
        <f>COUNTIF($X$2:$X$96,"&lt;2")</f>
        <v>29</v>
      </c>
      <c r="AB98" s="26">
        <f>AA98/$AA$108</f>
        <v>0.305263157894737</v>
      </c>
    </row>
    <row r="99" spans="7:29">
      <c r="G99" s="22" t="s">
        <v>1481</v>
      </c>
      <c r="H99" s="21">
        <f>COUNTIF($H$2:$H$96,"&gt;=5")-COUNTIF($H$2:$H$96,"&gt;=7")</f>
        <v>35</v>
      </c>
      <c r="I99" s="23">
        <f>H99/95</f>
        <v>0.368421052631579</v>
      </c>
      <c r="T99" s="33"/>
      <c r="Z99" s="24" t="s">
        <v>1482</v>
      </c>
      <c r="AA99" s="24">
        <f>COUNTIF($X$2:$X$96,"&gt;=2")-COUNTIF($X$2:$X$96,"&gt;=4")</f>
        <v>25</v>
      </c>
      <c r="AB99" s="26">
        <f t="shared" ref="AB99:AB107" si="0">AA99/$AA$108</f>
        <v>0.263157894736842</v>
      </c>
    </row>
    <row r="100" spans="7:29">
      <c r="G100" s="22" t="s">
        <v>1483</v>
      </c>
      <c r="H100" s="21">
        <f>COUNTIF($H$2:$H$96,"&gt;=7")-COUNTIF($H$2:$H$96,"&gt;=9")</f>
        <v>26</v>
      </c>
      <c r="I100" s="23">
        <f>H100/95</f>
        <v>0.273684210526316</v>
      </c>
      <c r="R100" t="s">
        <v>52</v>
      </c>
      <c r="S100">
        <v>36</v>
      </c>
      <c r="T100" s="33">
        <f>S100/S102</f>
        <v>0.378947368421053</v>
      </c>
      <c r="Z100" s="24" t="s">
        <v>1484</v>
      </c>
      <c r="AA100" s="24">
        <f>COUNTIF($X$2:$X$96,"&gt;=4")-COUNTIF($X$2:$X$96,"&gt;=6")</f>
        <v>14</v>
      </c>
      <c r="AB100" s="26">
        <f t="shared" si="0"/>
        <v>0.147368421052632</v>
      </c>
    </row>
    <row r="101" spans="7:29">
      <c r="G101" s="22" t="s">
        <v>1485</v>
      </c>
      <c r="H101" s="21">
        <f>COUNTIF($H$2:$H$96,"&gt;=9")-COUNTIF($H$2:$H$96,"&gt;=11")</f>
        <v>16</v>
      </c>
      <c r="I101" s="23">
        <f>H101/95</f>
        <v>0.168421052631579</v>
      </c>
      <c r="R101" t="s">
        <v>13</v>
      </c>
      <c r="S101">
        <v>59</v>
      </c>
      <c r="T101" s="29">
        <f>S101/95</f>
        <v>0.621052631578947</v>
      </c>
      <c r="Z101" s="24" t="s">
        <v>1486</v>
      </c>
      <c r="AA101" s="24">
        <f>COUNTIF($X$2:$X$96,"&gt;=6")-COUNTIF($X$2:$X$96,"&gt;=8")</f>
        <v>9</v>
      </c>
      <c r="AB101" s="26">
        <f t="shared" si="0"/>
        <v>0.0947368421052632</v>
      </c>
    </row>
    <row r="102" ht="14.5" spans="7:29">
      <c r="G102" s="22" t="s">
        <v>1487</v>
      </c>
      <c r="H102" s="21">
        <f>COUNTIF($H$2:$H$96,"&gt;=11")</f>
        <v>8</v>
      </c>
      <c r="I102" s="23">
        <f>H102/95</f>
        <v>0.0842105263157895</v>
      </c>
      <c r="S102">
        <f>SUM(S100:S101)</f>
        <v>95</v>
      </c>
      <c r="Z102" s="24" t="s">
        <v>1488</v>
      </c>
      <c r="AA102" s="24">
        <f>COUNTIF($X$2:$X$96,"&gt;=8")-COUNTIF($X$2:$X$96,"&gt;=10")</f>
        <v>2</v>
      </c>
      <c r="AB102" s="26">
        <f t="shared" si="0"/>
        <v>0.0210526315789474</v>
      </c>
    </row>
    <row r="103" spans="7:29">
      <c r="G103" s="34"/>
      <c r="H103" s="35">
        <f>SUM(H98:H102)</f>
        <v>95</v>
      </c>
      <c r="Z103" s="24" t="s">
        <v>1489</v>
      </c>
      <c r="AA103" s="24">
        <f>COUNTIF($X$2:$X$96,"&gt;=10")-COUNTIF($X$2:$X$96,"&gt;=12")</f>
        <v>7</v>
      </c>
      <c r="AB103" s="26">
        <f t="shared" si="0"/>
        <v>0.0736842105263158</v>
      </c>
    </row>
    <row r="104" spans="7:29">
      <c r="R104" t="s">
        <v>1490</v>
      </c>
      <c r="S104" s="26">
        <f>S101/477</f>
        <v>0.123689727463312</v>
      </c>
      <c r="Z104" s="24" t="s">
        <v>1491</v>
      </c>
      <c r="AA104" s="24">
        <f>COUNTIF($X$2:$X$96,"&gt;=12")-COUNTIF($X$2:$X$96,"&gt;=14")</f>
        <v>6</v>
      </c>
      <c r="AB104" s="26">
        <f t="shared" si="0"/>
        <v>0.0631578947368421</v>
      </c>
    </row>
    <row r="105" spans="7:29">
      <c r="Z105" s="24" t="s">
        <v>1492</v>
      </c>
      <c r="AA105" s="24">
        <f>COUNTIF($X$2:$X$96,"&gt;=14")-COUNTIF($X$2:$X$96,"&gt;=16")</f>
        <v>0</v>
      </c>
      <c r="AB105" s="26">
        <f t="shared" si="0"/>
        <v>0</v>
      </c>
    </row>
    <row r="106" spans="7:29">
      <c r="Z106" s="24" t="s">
        <v>1493</v>
      </c>
      <c r="AA106" s="24">
        <f>COUNTIF($X$2:$X$96,"&gt;=16")-COUNTIF($X$2:$X$96,"&gt;=18")</f>
        <v>1</v>
      </c>
      <c r="AB106" s="26">
        <f t="shared" si="0"/>
        <v>0.0105263157894737</v>
      </c>
    </row>
    <row r="107" spans="7:29">
      <c r="Z107" s="24" t="s">
        <v>1494</v>
      </c>
      <c r="AA107" s="24">
        <f>COUNTIF($X$2:$X$96,"&gt;=18")</f>
        <v>2</v>
      </c>
      <c r="AB107" s="26">
        <f t="shared" si="0"/>
        <v>0.0210526315789474</v>
      </c>
      <c r="AC107" s="36" t="s">
        <v>1495</v>
      </c>
    </row>
    <row r="108" spans="7:29">
      <c r="AA108">
        <f>SUM(AA98:AA107)</f>
        <v>95</v>
      </c>
      <c r="AB108">
        <f>SUM(AB98:AB107)</f>
        <v>1</v>
      </c>
    </row>
  </sheetData>
  <autoFilter xmlns:etc="http://www.wps.cn/officeDocument/2017/etCustomData" ref="A1:X104" etc:filterBottomFollowUsedRange="0">
    <extLst/>
  </autoFilter>
  <conditionalFormatting sqref="A2 A3:A4 A5:A6 A7 A8 A9 A10 A11 A12 A13 A14:A16 A17:A18 A19 A20 A21:A22 A23 A24:A25 A26 A27:A28 A29 A30:A32 A33 A34 A35 A36:A37 A38 A39 A40 A41:A42 A43 A44 A45 A46 A47 A48:A49 A50:A51 A52 A53 A54:A55 A56 A57 A58 A59 A60 A61 A62 A63:A65 A66 A67 A68 A69 A70:A71 A72:A74 A75 A76 A77 A78:A80 A81 A82 A83 A84 A85 A86:A89 A90 A91 A92 A93 A94 A95 A96">
    <cfRule type="duplicateValues" dxfId="0" priority="2"/>
  </conditionalFormatting>
  <conditionalFormatting sqref="I2 I3:I4 I5:I6 I7 I8 I9 I10 I11 I12 I13 I14:I16 I17:I18 I19 I20 I21:I22 I23 I24:I25 I26 I27:I28 I29 I30:I32 I33 I34 I35 I36:I37 I38 I39 I40 I41:I42 I43 I44 I45 I46 I47 I48:I49 I50:I51 I52 I53 I54:I55 I56 I57 I58 I59 I60 I61 I62 I63:I65 I66 I67 I68 I69 I70:I71 I72:I74 I75 I76 I77 I78:I80 I81 I82 I83 I84 I85 I86:I89 I90 I91 I92 I93 I94 I95 I96">
    <cfRule type="duplicateValues" dxfId="0" priority="1"/>
  </conditionalFormatting>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104"/>
  <sheetViews>
    <sheetView topLeftCell="C82" workbookViewId="0">
      <selection activeCell="F33" sqref="F33"/>
    </sheetView>
  </sheetViews>
  <sheetFormatPr defaultColWidth="8.63333333333333" defaultRowHeight="14"/>
  <cols>
    <col min="10" max="10" width="11.5416666666667"/>
  </cols>
  <sheetData>
    <row r="1" s="1" customFormat="1" ht="70" spans="1:52 16365:16384">
      <c r="A1" s="2" t="s">
        <v>1244</v>
      </c>
      <c r="B1" s="3" t="s">
        <v>1245</v>
      </c>
      <c r="C1" s="4" t="s">
        <v>1</v>
      </c>
      <c r="D1" s="5" t="s">
        <v>1246</v>
      </c>
      <c r="E1" s="5" t="s">
        <v>1247</v>
      </c>
      <c r="F1" s="4" t="s">
        <v>1248</v>
      </c>
      <c r="G1" s="4" t="s">
        <v>4</v>
      </c>
      <c r="H1" s="4" t="s">
        <v>5</v>
      </c>
      <c r="I1" s="6" t="s">
        <v>6</v>
      </c>
      <c r="J1" s="6" t="s">
        <v>7</v>
      </c>
      <c r="K1" s="6" t="s">
        <v>8</v>
      </c>
      <c r="L1" s="6" t="s">
        <v>9</v>
      </c>
      <c r="M1" s="4" t="s">
        <v>10</v>
      </c>
      <c r="N1" s="4" t="s">
        <v>1249</v>
      </c>
      <c r="O1" s="4" t="s">
        <v>11</v>
      </c>
      <c r="P1" s="4" t="s">
        <v>12</v>
      </c>
      <c r="Q1" s="6" t="s">
        <v>13</v>
      </c>
      <c r="R1" s="4" t="s">
        <v>1250</v>
      </c>
      <c r="S1" s="4" t="s">
        <v>1251</v>
      </c>
      <c r="T1" s="4" t="s">
        <v>1252</v>
      </c>
      <c r="U1" s="4" t="s">
        <v>1253</v>
      </c>
      <c r="V1" s="4" t="s">
        <v>1254</v>
      </c>
      <c r="W1" s="4" t="s">
        <v>1255</v>
      </c>
      <c r="X1" s="7" t="s">
        <v>1256</v>
      </c>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XEK1"/>
      <c r="XEL1"/>
      <c r="XEM1"/>
      <c r="XEN1"/>
      <c r="XEO1"/>
      <c r="XEP1"/>
      <c r="XEQ1"/>
      <c r="XER1"/>
      <c r="XES1"/>
      <c r="XET1"/>
      <c r="XEU1"/>
      <c r="XEV1"/>
      <c r="XEW1"/>
      <c r="XEX1"/>
      <c r="XEY1"/>
      <c r="XEZ1"/>
      <c r="XFA1"/>
      <c r="XFB1"/>
      <c r="XFC1"/>
      <c r="XFD1"/>
    </row>
    <row r="2" spans="1:52 16365:16384">
      <c r="A2" s="8">
        <v>4834</v>
      </c>
      <c r="B2" s="9">
        <v>44979</v>
      </c>
      <c r="C2" s="8" t="s">
        <v>229</v>
      </c>
      <c r="D2" s="8">
        <v>121.4896233</v>
      </c>
      <c r="E2" s="8">
        <v>31.23218777</v>
      </c>
      <c r="F2" s="8" t="s">
        <v>1372</v>
      </c>
      <c r="G2" s="8" t="s">
        <v>32</v>
      </c>
      <c r="H2" s="13">
        <v>8.6625</v>
      </c>
      <c r="I2" s="8" t="s">
        <v>231</v>
      </c>
      <c r="J2" s="8" t="s">
        <v>165</v>
      </c>
      <c r="K2" s="8" t="s">
        <v>165</v>
      </c>
      <c r="L2" s="8" t="s">
        <v>50</v>
      </c>
      <c r="M2" s="8">
        <v>1500</v>
      </c>
      <c r="N2" s="8" t="s">
        <v>1258</v>
      </c>
      <c r="O2" s="11">
        <v>1500</v>
      </c>
      <c r="P2" s="8" t="s">
        <v>75</v>
      </c>
      <c r="Q2" s="8" t="s">
        <v>13</v>
      </c>
      <c r="R2" s="8" t="s">
        <v>1496</v>
      </c>
      <c r="S2" s="12" t="s">
        <v>1496</v>
      </c>
      <c r="T2" s="8" t="s">
        <v>1497</v>
      </c>
      <c r="U2" s="8">
        <v>121.387352951172</v>
      </c>
      <c r="V2" s="8">
        <v>31.2610526435125</v>
      </c>
      <c r="W2" s="8" t="s">
        <v>1262</v>
      </c>
      <c r="X2">
        <v>13.43</v>
      </c>
    </row>
    <row r="3" spans="1:52 16365:16384">
      <c r="A3" s="8">
        <v>4868</v>
      </c>
      <c r="B3" s="9">
        <v>44986</v>
      </c>
      <c r="C3" s="8" t="s">
        <v>168</v>
      </c>
      <c r="D3" s="8">
        <v>121.391503363144</v>
      </c>
      <c r="E3" s="8">
        <v>31.2447752841159</v>
      </c>
      <c r="F3" s="8" t="s">
        <v>1498</v>
      </c>
      <c r="G3" s="8" t="s">
        <v>21</v>
      </c>
      <c r="H3" s="13">
        <v>3.85</v>
      </c>
      <c r="I3" s="8" t="s">
        <v>170</v>
      </c>
      <c r="J3" s="8" t="s">
        <v>171</v>
      </c>
      <c r="K3" s="8" t="s">
        <v>171</v>
      </c>
      <c r="L3" s="8" t="s">
        <v>50</v>
      </c>
      <c r="M3" s="8">
        <v>1500</v>
      </c>
      <c r="N3" s="8" t="s">
        <v>1258</v>
      </c>
      <c r="O3" s="11">
        <v>1500</v>
      </c>
      <c r="P3" s="8" t="s">
        <v>26</v>
      </c>
      <c r="Q3" s="8" t="s">
        <v>13</v>
      </c>
      <c r="R3" s="8" t="s">
        <v>1499</v>
      </c>
      <c r="S3" s="12" t="s">
        <v>1500</v>
      </c>
      <c r="T3" s="8" t="s">
        <v>1501</v>
      </c>
      <c r="U3" s="8">
        <v>121.441393395058</v>
      </c>
      <c r="V3" s="8">
        <v>31.2652875367759</v>
      </c>
      <c r="W3" s="8" t="s">
        <v>1262</v>
      </c>
      <c r="X3">
        <v>6.925</v>
      </c>
    </row>
    <row r="4" spans="1:52 16365:16384">
      <c r="A4" s="8">
        <v>4959</v>
      </c>
      <c r="B4" s="9">
        <v>45017</v>
      </c>
      <c r="C4" s="8" t="s">
        <v>365</v>
      </c>
      <c r="D4" s="8">
        <v>121.405373946239</v>
      </c>
      <c r="E4" s="8">
        <v>31.2504417128511</v>
      </c>
      <c r="F4" s="8" t="s">
        <v>1498</v>
      </c>
      <c r="G4" s="8" t="s">
        <v>21</v>
      </c>
      <c r="H4" s="13">
        <v>4.125</v>
      </c>
      <c r="I4" s="8" t="s">
        <v>476</v>
      </c>
      <c r="J4" s="8" t="s">
        <v>477</v>
      </c>
      <c r="K4" s="8" t="s">
        <v>477</v>
      </c>
      <c r="L4" s="8" t="s">
        <v>50</v>
      </c>
      <c r="M4" s="8">
        <v>1500</v>
      </c>
      <c r="N4" s="8" t="s">
        <v>1258</v>
      </c>
      <c r="O4" s="11">
        <v>1500</v>
      </c>
      <c r="P4" s="8" t="s">
        <v>26</v>
      </c>
      <c r="Q4" s="8" t="s">
        <v>13</v>
      </c>
      <c r="R4" s="8" t="s">
        <v>1502</v>
      </c>
      <c r="S4" s="12" t="s">
        <v>1503</v>
      </c>
      <c r="T4" s="8" t="s">
        <v>1504</v>
      </c>
      <c r="U4" s="8">
        <v>121.407696991673</v>
      </c>
      <c r="V4" s="8">
        <v>31.2347815366442</v>
      </c>
      <c r="W4" s="8" t="s">
        <v>1262</v>
      </c>
      <c r="X4">
        <v>2.44</v>
      </c>
    </row>
    <row r="5" spans="1:52 16365:16384">
      <c r="A5" s="8">
        <v>5021</v>
      </c>
      <c r="B5" s="9">
        <v>45047</v>
      </c>
      <c r="C5" s="8" t="s">
        <v>365</v>
      </c>
      <c r="D5" s="8">
        <v>121.405373946239</v>
      </c>
      <c r="E5" s="8">
        <v>31.2504417128511</v>
      </c>
      <c r="F5" s="8" t="s">
        <v>1498</v>
      </c>
      <c r="G5" s="8" t="s">
        <v>21</v>
      </c>
      <c r="H5" s="13">
        <v>4.125</v>
      </c>
      <c r="I5" s="8" t="s">
        <v>479</v>
      </c>
      <c r="J5" s="8" t="s">
        <v>171</v>
      </c>
      <c r="K5" s="8" t="s">
        <v>171</v>
      </c>
      <c r="L5" s="8" t="s">
        <v>50</v>
      </c>
      <c r="M5" s="8">
        <v>2000</v>
      </c>
      <c r="N5" s="8" t="s">
        <v>1258</v>
      </c>
      <c r="O5" s="11">
        <v>2000</v>
      </c>
      <c r="P5" s="8" t="s">
        <v>26</v>
      </c>
      <c r="Q5" s="8" t="s">
        <v>13</v>
      </c>
      <c r="R5" s="8" t="s">
        <v>1502</v>
      </c>
      <c r="S5" s="12" t="s">
        <v>1503</v>
      </c>
      <c r="T5" s="8" t="s">
        <v>1504</v>
      </c>
      <c r="U5" s="8">
        <v>121.407696991673</v>
      </c>
      <c r="V5" s="8">
        <v>31.2347815366442</v>
      </c>
      <c r="W5" s="8" t="s">
        <v>1262</v>
      </c>
      <c r="X5">
        <v>2.44</v>
      </c>
    </row>
    <row r="6" spans="1:52 16365:16384">
      <c r="A6" s="8">
        <v>5003</v>
      </c>
      <c r="B6" s="9">
        <v>45047</v>
      </c>
      <c r="C6" s="8" t="s">
        <v>168</v>
      </c>
      <c r="D6" s="8">
        <v>121.391503363144</v>
      </c>
      <c r="E6" s="8">
        <v>31.2447752841159</v>
      </c>
      <c r="F6" s="8" t="s">
        <v>1498</v>
      </c>
      <c r="G6" s="8" t="s">
        <v>21</v>
      </c>
      <c r="H6" s="10">
        <v>4.65611111111111</v>
      </c>
      <c r="I6" s="8" t="s">
        <v>895</v>
      </c>
      <c r="J6" s="8" t="s">
        <v>171</v>
      </c>
      <c r="K6" s="8" t="s">
        <v>171</v>
      </c>
      <c r="L6" s="8" t="s">
        <v>50</v>
      </c>
      <c r="M6" s="8">
        <v>270.9</v>
      </c>
      <c r="N6" s="8"/>
      <c r="O6" s="11">
        <v>270.9</v>
      </c>
      <c r="P6" s="8" t="s">
        <v>245</v>
      </c>
      <c r="Q6" s="8" t="s">
        <v>13</v>
      </c>
      <c r="R6" s="8" t="s">
        <v>1505</v>
      </c>
      <c r="S6" s="12" t="s">
        <v>1506</v>
      </c>
      <c r="T6" s="8" t="s">
        <v>1507</v>
      </c>
      <c r="U6" s="8">
        <v>121.388746402405</v>
      </c>
      <c r="V6" s="8">
        <v>31.2225015441654</v>
      </c>
      <c r="W6" s="8" t="s">
        <v>1262</v>
      </c>
      <c r="X6">
        <v>2.611</v>
      </c>
    </row>
    <row r="7" spans="1:52 16365:16384">
      <c r="A7" s="8">
        <v>5070</v>
      </c>
      <c r="B7" s="9">
        <v>45072</v>
      </c>
      <c r="C7" s="8" t="s">
        <v>434</v>
      </c>
      <c r="D7" s="8">
        <v>121.4743879</v>
      </c>
      <c r="E7" s="8">
        <v>31.22320028</v>
      </c>
      <c r="F7" s="8" t="s">
        <v>1334</v>
      </c>
      <c r="G7" s="8" t="s">
        <v>32</v>
      </c>
      <c r="H7" s="13">
        <v>11.4583333333333</v>
      </c>
      <c r="I7" s="8" t="s">
        <v>1114</v>
      </c>
      <c r="J7" s="8" t="s">
        <v>116</v>
      </c>
      <c r="K7" s="8" t="s">
        <v>116</v>
      </c>
      <c r="L7" s="8" t="s">
        <v>50</v>
      </c>
      <c r="M7" s="8">
        <v>300</v>
      </c>
      <c r="N7" s="8" t="s">
        <v>1258</v>
      </c>
      <c r="O7" s="11">
        <v>300</v>
      </c>
      <c r="P7" s="8" t="s">
        <v>51</v>
      </c>
      <c r="Q7" s="8" t="s">
        <v>13</v>
      </c>
      <c r="R7" s="8" t="s">
        <v>1508</v>
      </c>
      <c r="S7" s="12" t="s">
        <v>1509</v>
      </c>
      <c r="T7" s="8" t="s">
        <v>1510</v>
      </c>
      <c r="U7" s="8">
        <v>121.310069029188</v>
      </c>
      <c r="V7" s="8">
        <v>31.1963822095569</v>
      </c>
      <c r="W7" s="8" t="s">
        <v>1262</v>
      </c>
      <c r="X7">
        <v>18.717</v>
      </c>
    </row>
    <row r="8" spans="1:52 16365:16384">
      <c r="A8" s="8">
        <v>5084</v>
      </c>
      <c r="B8" s="9">
        <v>45078</v>
      </c>
      <c r="C8" s="8" t="s">
        <v>281</v>
      </c>
      <c r="D8" s="8">
        <v>121.455928321736</v>
      </c>
      <c r="E8" s="8">
        <v>31.163149177406</v>
      </c>
      <c r="F8" s="8" t="s">
        <v>1272</v>
      </c>
      <c r="G8" s="8" t="s">
        <v>21</v>
      </c>
      <c r="H8" s="13">
        <v>5.95833333333333</v>
      </c>
      <c r="I8" s="8" t="s">
        <v>282</v>
      </c>
      <c r="J8" s="8" t="s">
        <v>165</v>
      </c>
      <c r="K8" s="8" t="s">
        <v>165</v>
      </c>
      <c r="L8" s="8" t="s">
        <v>50</v>
      </c>
      <c r="M8" s="8">
        <v>3000</v>
      </c>
      <c r="N8" s="8" t="s">
        <v>1258</v>
      </c>
      <c r="O8" s="11">
        <v>3000</v>
      </c>
      <c r="P8" s="8" t="s">
        <v>51</v>
      </c>
      <c r="Q8" s="8" t="s">
        <v>13</v>
      </c>
      <c r="R8" s="8" t="s">
        <v>1511</v>
      </c>
      <c r="S8" s="12" t="s">
        <v>1512</v>
      </c>
      <c r="T8" s="8" t="s">
        <v>1513</v>
      </c>
      <c r="U8" s="8">
        <v>121.448840970366</v>
      </c>
      <c r="V8" s="8">
        <v>31.246592447497</v>
      </c>
      <c r="W8" s="8" t="s">
        <v>1262</v>
      </c>
      <c r="X8">
        <v>11.121</v>
      </c>
    </row>
    <row r="9" spans="1:52 16365:16384">
      <c r="A9" s="8">
        <v>5137</v>
      </c>
      <c r="B9" s="9">
        <v>45078</v>
      </c>
      <c r="C9" s="8" t="s">
        <v>993</v>
      </c>
      <c r="D9" s="8">
        <v>121.433288107681</v>
      </c>
      <c r="E9" s="8">
        <v>31.1994591088409</v>
      </c>
      <c r="F9" s="8" t="s">
        <v>1436</v>
      </c>
      <c r="G9" s="8" t="s">
        <v>32</v>
      </c>
      <c r="H9" s="13">
        <v>8.70833333333333</v>
      </c>
      <c r="I9" s="8" t="s">
        <v>1194</v>
      </c>
      <c r="J9" s="8" t="s">
        <v>165</v>
      </c>
      <c r="K9" s="8" t="s">
        <v>165</v>
      </c>
      <c r="L9" s="8" t="s">
        <v>50</v>
      </c>
      <c r="M9" s="8">
        <v>1200</v>
      </c>
      <c r="N9" s="8" t="s">
        <v>1258</v>
      </c>
      <c r="O9" s="11">
        <v>1200</v>
      </c>
      <c r="P9" s="8" t="s">
        <v>51</v>
      </c>
      <c r="Q9" s="8" t="s">
        <v>13</v>
      </c>
      <c r="R9" s="8" t="s">
        <v>1514</v>
      </c>
      <c r="S9" s="12" t="s">
        <v>1514</v>
      </c>
      <c r="T9" s="8" t="s">
        <v>1514</v>
      </c>
      <c r="U9" s="8">
        <v>121.345080892502</v>
      </c>
      <c r="V9" s="8">
        <v>31.1810367476202</v>
      </c>
      <c r="W9" s="8" t="s">
        <v>1262</v>
      </c>
      <c r="X9">
        <v>10.067</v>
      </c>
    </row>
    <row r="10" spans="1:52 16365:16384">
      <c r="A10" s="8">
        <v>5094</v>
      </c>
      <c r="B10" s="9">
        <v>45078</v>
      </c>
      <c r="C10" s="8" t="s">
        <v>347</v>
      </c>
      <c r="D10" s="8">
        <v>121.5108684</v>
      </c>
      <c r="E10" s="8">
        <v>31.22489798</v>
      </c>
      <c r="F10" s="8" t="s">
        <v>1286</v>
      </c>
      <c r="G10" s="8" t="s">
        <v>21</v>
      </c>
      <c r="H10" s="10">
        <v>6.13888888888889</v>
      </c>
      <c r="I10" s="8" t="s">
        <v>348</v>
      </c>
      <c r="J10" s="8" t="s">
        <v>165</v>
      </c>
      <c r="K10" s="8" t="s">
        <v>165</v>
      </c>
      <c r="L10" s="8" t="s">
        <v>50</v>
      </c>
      <c r="M10" s="8">
        <v>593</v>
      </c>
      <c r="N10" s="8" t="s">
        <v>1258</v>
      </c>
      <c r="O10" s="11">
        <v>593</v>
      </c>
      <c r="P10" s="8" t="s">
        <v>66</v>
      </c>
      <c r="Q10" s="8" t="s">
        <v>13</v>
      </c>
      <c r="R10" s="8" t="s">
        <v>1515</v>
      </c>
      <c r="S10" s="12" t="s">
        <v>1516</v>
      </c>
      <c r="T10" s="8" t="s">
        <v>1517</v>
      </c>
      <c r="U10" s="8">
        <v>121.529675333626</v>
      </c>
      <c r="V10" s="8">
        <v>31.2428847409001</v>
      </c>
      <c r="W10" s="8" t="s">
        <v>1262</v>
      </c>
      <c r="X10">
        <v>3.416</v>
      </c>
    </row>
    <row r="11" spans="1:52 16365:16384">
      <c r="A11" s="8">
        <v>5106</v>
      </c>
      <c r="B11" s="9">
        <v>45078</v>
      </c>
      <c r="C11" s="8" t="s">
        <v>872</v>
      </c>
      <c r="D11" s="8">
        <v>121.3111251</v>
      </c>
      <c r="E11" s="8">
        <v>31.1973594</v>
      </c>
      <c r="F11" s="8" t="s">
        <v>1518</v>
      </c>
      <c r="G11" s="8" t="s">
        <v>21</v>
      </c>
      <c r="H11" s="10">
        <v>6.00741721854305</v>
      </c>
      <c r="I11" s="8" t="s">
        <v>873</v>
      </c>
      <c r="J11" s="8" t="s">
        <v>165</v>
      </c>
      <c r="K11" s="8" t="s">
        <v>165</v>
      </c>
      <c r="L11" s="8" t="s">
        <v>50</v>
      </c>
      <c r="M11" s="8">
        <v>268.68</v>
      </c>
      <c r="N11" s="8"/>
      <c r="O11" s="11">
        <v>268.68</v>
      </c>
      <c r="P11" s="8" t="s">
        <v>245</v>
      </c>
      <c r="Q11" s="8" t="s">
        <v>13</v>
      </c>
      <c r="R11" s="8" t="s">
        <v>1519</v>
      </c>
      <c r="S11" s="12" t="s">
        <v>1520</v>
      </c>
      <c r="T11" s="8" t="s">
        <v>1521</v>
      </c>
      <c r="U11" s="8">
        <v>121.346989150553</v>
      </c>
      <c r="V11" s="8">
        <v>31.2242922586924</v>
      </c>
      <c r="W11" s="8" t="s">
        <v>1262</v>
      </c>
      <c r="X11">
        <v>6.76</v>
      </c>
    </row>
    <row r="12" spans="1:52 16365:16384">
      <c r="A12" s="8">
        <v>5186</v>
      </c>
      <c r="B12" s="9">
        <v>45108</v>
      </c>
      <c r="C12" s="8" t="s">
        <v>869</v>
      </c>
      <c r="D12" s="8">
        <v>121.5263734</v>
      </c>
      <c r="E12" s="8">
        <v>31.22682611</v>
      </c>
      <c r="F12" s="8" t="s">
        <v>1257</v>
      </c>
      <c r="G12" s="8" t="s">
        <v>32</v>
      </c>
      <c r="H12" s="13">
        <v>6.41666666666667</v>
      </c>
      <c r="I12" s="8" t="s">
        <v>870</v>
      </c>
      <c r="J12" s="8" t="s">
        <v>165</v>
      </c>
      <c r="K12" s="8" t="s">
        <v>165</v>
      </c>
      <c r="L12" s="8" t="s">
        <v>50</v>
      </c>
      <c r="M12" s="8">
        <v>450</v>
      </c>
      <c r="N12" s="8" t="s">
        <v>1258</v>
      </c>
      <c r="O12" s="11">
        <v>450</v>
      </c>
      <c r="P12" s="8" t="s">
        <v>75</v>
      </c>
      <c r="Q12" s="8" t="s">
        <v>13</v>
      </c>
      <c r="R12" s="8" t="s">
        <v>1522</v>
      </c>
      <c r="S12" s="12" t="s">
        <v>1522</v>
      </c>
      <c r="T12" s="8" t="s">
        <v>731</v>
      </c>
      <c r="U12" s="8">
        <v>121.527444530744</v>
      </c>
      <c r="V12" s="8">
        <v>31.2244593529137</v>
      </c>
      <c r="W12" s="8" t="s">
        <v>1262</v>
      </c>
      <c r="X12">
        <v>0.414</v>
      </c>
    </row>
    <row r="13" spans="1:52 16365:16384">
      <c r="A13" s="8">
        <v>5307</v>
      </c>
      <c r="B13" s="9">
        <v>45155</v>
      </c>
      <c r="C13" s="8" t="s">
        <v>163</v>
      </c>
      <c r="D13" s="8">
        <v>121.501283410625</v>
      </c>
      <c r="E13" s="8">
        <v>31.2370729244893</v>
      </c>
      <c r="F13" s="8" t="s">
        <v>1275</v>
      </c>
      <c r="G13" s="8" t="s">
        <v>32</v>
      </c>
      <c r="H13" s="13">
        <v>8.70833333333333</v>
      </c>
      <c r="I13" s="8" t="s">
        <v>1110</v>
      </c>
      <c r="J13" s="8" t="s">
        <v>165</v>
      </c>
      <c r="K13" s="8" t="s">
        <v>165</v>
      </c>
      <c r="L13" s="8" t="s">
        <v>50</v>
      </c>
      <c r="M13" s="8">
        <v>600</v>
      </c>
      <c r="N13" s="8" t="s">
        <v>1258</v>
      </c>
      <c r="O13" s="11">
        <v>600</v>
      </c>
      <c r="P13" s="8" t="s">
        <v>75</v>
      </c>
      <c r="Q13" s="8" t="s">
        <v>13</v>
      </c>
      <c r="R13" s="8" t="s">
        <v>1523</v>
      </c>
      <c r="S13" s="12" t="s">
        <v>1523</v>
      </c>
      <c r="T13" s="8" t="s">
        <v>1524</v>
      </c>
      <c r="U13" s="8">
        <v>121.443231950367</v>
      </c>
      <c r="V13" s="8">
        <v>31.1999298062179</v>
      </c>
      <c r="W13" s="8" t="s">
        <v>1262</v>
      </c>
      <c r="X13">
        <v>8.598</v>
      </c>
    </row>
    <row r="14" spans="1:52 16365:16384">
      <c r="A14" s="8">
        <v>5310</v>
      </c>
      <c r="B14" s="9">
        <v>45161</v>
      </c>
      <c r="C14" s="8" t="s">
        <v>281</v>
      </c>
      <c r="D14" s="8">
        <v>121.455928321736</v>
      </c>
      <c r="E14" s="8">
        <v>31.163149177406</v>
      </c>
      <c r="F14" s="8" t="s">
        <v>1272</v>
      </c>
      <c r="G14" s="8" t="s">
        <v>21</v>
      </c>
      <c r="H14" s="13">
        <v>5.68333333333333</v>
      </c>
      <c r="I14" s="8" t="s">
        <v>1103</v>
      </c>
      <c r="J14" s="8" t="s">
        <v>477</v>
      </c>
      <c r="K14" s="8" t="s">
        <v>477</v>
      </c>
      <c r="L14" s="8" t="s">
        <v>50</v>
      </c>
      <c r="M14" s="8">
        <v>3000</v>
      </c>
      <c r="N14" s="8" t="s">
        <v>1258</v>
      </c>
      <c r="O14" s="11">
        <v>3000</v>
      </c>
      <c r="P14" s="8" t="s">
        <v>66</v>
      </c>
      <c r="Q14" s="8" t="s">
        <v>13</v>
      </c>
      <c r="R14" s="8" t="s">
        <v>1525</v>
      </c>
      <c r="S14" s="12" t="s">
        <v>1526</v>
      </c>
      <c r="T14" s="8" t="s">
        <v>1527</v>
      </c>
      <c r="U14" s="8">
        <v>121.476151551972</v>
      </c>
      <c r="V14" s="8">
        <v>31.1998048827062</v>
      </c>
      <c r="W14" s="8" t="s">
        <v>1262</v>
      </c>
      <c r="X14">
        <v>5.669</v>
      </c>
    </row>
    <row r="15" spans="1:52 16365:16384">
      <c r="A15" s="8">
        <v>5311</v>
      </c>
      <c r="B15" s="9">
        <v>45161</v>
      </c>
      <c r="C15" s="8" t="s">
        <v>281</v>
      </c>
      <c r="D15" s="8">
        <v>121.455928321736</v>
      </c>
      <c r="E15" s="8">
        <v>31.163149177406</v>
      </c>
      <c r="F15" s="8" t="s">
        <v>1272</v>
      </c>
      <c r="G15" s="8" t="s">
        <v>21</v>
      </c>
      <c r="H15" s="13">
        <v>5.31666666666667</v>
      </c>
      <c r="I15" s="8" t="s">
        <v>1105</v>
      </c>
      <c r="J15" s="8" t="s">
        <v>477</v>
      </c>
      <c r="K15" s="8" t="s">
        <v>477</v>
      </c>
      <c r="L15" s="8" t="s">
        <v>50</v>
      </c>
      <c r="M15" s="8">
        <v>1500</v>
      </c>
      <c r="N15" s="8" t="s">
        <v>1258</v>
      </c>
      <c r="O15" s="11">
        <v>1500</v>
      </c>
      <c r="P15" s="8" t="s">
        <v>66</v>
      </c>
      <c r="Q15" s="8" t="s">
        <v>13</v>
      </c>
      <c r="R15" s="8" t="s">
        <v>1525</v>
      </c>
      <c r="S15" s="12" t="s">
        <v>1528</v>
      </c>
      <c r="T15" s="8" t="s">
        <v>1527</v>
      </c>
      <c r="U15" s="8">
        <v>121.476151551972</v>
      </c>
      <c r="V15" s="8">
        <v>31.1998048827062</v>
      </c>
      <c r="W15" s="8" t="s">
        <v>1262</v>
      </c>
      <c r="X15">
        <v>5.669</v>
      </c>
    </row>
    <row r="16" spans="1:52 16365:16384">
      <c r="A16" s="8">
        <v>5416</v>
      </c>
      <c r="B16" s="9">
        <v>45200</v>
      </c>
      <c r="C16" s="8" t="s">
        <v>516</v>
      </c>
      <c r="D16" s="8">
        <v>121.475059396253</v>
      </c>
      <c r="E16" s="8">
        <v>31.2447779044237</v>
      </c>
      <c r="F16" s="8" t="s">
        <v>1529</v>
      </c>
      <c r="G16" s="8" t="s">
        <v>21</v>
      </c>
      <c r="H16" s="10">
        <v>10.3583333333333</v>
      </c>
      <c r="I16" s="8" t="s">
        <v>1042</v>
      </c>
      <c r="J16" s="8" t="s">
        <v>171</v>
      </c>
      <c r="K16" s="8" t="s">
        <v>171</v>
      </c>
      <c r="L16" s="8" t="s">
        <v>50</v>
      </c>
      <c r="M16" s="8">
        <v>417.63</v>
      </c>
      <c r="N16" s="8" t="s">
        <v>1258</v>
      </c>
      <c r="O16" s="11">
        <v>417.63</v>
      </c>
      <c r="P16" s="8" t="s">
        <v>43</v>
      </c>
      <c r="Q16" s="8" t="s">
        <v>13</v>
      </c>
      <c r="R16" s="8" t="s">
        <v>1530</v>
      </c>
      <c r="S16" s="12" t="s">
        <v>1531</v>
      </c>
      <c r="T16" s="8" t="s">
        <v>1532</v>
      </c>
      <c r="U16" s="8">
        <v>121.559339140752</v>
      </c>
      <c r="V16" s="8">
        <v>31.2145776544487</v>
      </c>
      <c r="W16" s="8" t="s">
        <v>1262</v>
      </c>
      <c r="X16">
        <v>11.579</v>
      </c>
    </row>
    <row r="17" spans="1:24">
      <c r="A17" s="8">
        <v>5457</v>
      </c>
      <c r="B17" s="9">
        <v>45230</v>
      </c>
      <c r="C17" s="8" t="s">
        <v>71</v>
      </c>
      <c r="D17" s="8">
        <v>121.455928321736</v>
      </c>
      <c r="E17" s="8">
        <v>31.163149177406</v>
      </c>
      <c r="F17" s="8" t="s">
        <v>1272</v>
      </c>
      <c r="G17" s="8" t="s">
        <v>21</v>
      </c>
      <c r="H17" s="13">
        <v>6.41666666666667</v>
      </c>
      <c r="I17" s="8" t="s">
        <v>73</v>
      </c>
      <c r="J17" s="8" t="s">
        <v>74</v>
      </c>
      <c r="K17" s="8" t="s">
        <v>74</v>
      </c>
      <c r="L17" s="8" t="s">
        <v>50</v>
      </c>
      <c r="M17" s="8">
        <v>1500</v>
      </c>
      <c r="N17" s="8" t="s">
        <v>1258</v>
      </c>
      <c r="O17" s="11">
        <v>1500</v>
      </c>
      <c r="P17" s="8" t="s">
        <v>75</v>
      </c>
      <c r="Q17" s="8" t="s">
        <v>13</v>
      </c>
      <c r="R17" s="8" t="s">
        <v>1533</v>
      </c>
      <c r="S17" s="12" t="s">
        <v>1533</v>
      </c>
      <c r="T17" s="8" t="s">
        <v>1534</v>
      </c>
      <c r="U17" s="8">
        <v>121.481978384276</v>
      </c>
      <c r="V17" s="8">
        <v>31.3254176294579</v>
      </c>
      <c r="W17" s="8" t="s">
        <v>1262</v>
      </c>
      <c r="X17">
        <v>22.409</v>
      </c>
    </row>
    <row r="18" spans="1:24">
      <c r="A18" s="8">
        <v>5600</v>
      </c>
      <c r="B18" s="9">
        <v>45292</v>
      </c>
      <c r="C18" s="8" t="s">
        <v>168</v>
      </c>
      <c r="D18" s="8">
        <v>121.391503363144</v>
      </c>
      <c r="E18" s="8">
        <v>31.2447752841159</v>
      </c>
      <c r="F18" s="8" t="s">
        <v>1498</v>
      </c>
      <c r="G18" s="8" t="s">
        <v>21</v>
      </c>
      <c r="H18" s="13">
        <v>4.125</v>
      </c>
      <c r="I18" s="8" t="s">
        <v>350</v>
      </c>
      <c r="J18" s="8" t="s">
        <v>171</v>
      </c>
      <c r="K18" s="8" t="s">
        <v>171</v>
      </c>
      <c r="L18" s="8" t="s">
        <v>50</v>
      </c>
      <c r="M18" s="8">
        <v>555</v>
      </c>
      <c r="N18" s="8" t="s">
        <v>1258</v>
      </c>
      <c r="O18" s="11">
        <v>555</v>
      </c>
      <c r="P18" s="8" t="s">
        <v>51</v>
      </c>
      <c r="Q18" s="8" t="s">
        <v>13</v>
      </c>
      <c r="R18" s="8" t="s">
        <v>1535</v>
      </c>
      <c r="S18" s="12" t="s">
        <v>1535</v>
      </c>
      <c r="T18" s="8" t="s">
        <v>1536</v>
      </c>
      <c r="U18" s="8">
        <v>121.326712555241</v>
      </c>
      <c r="V18" s="8">
        <v>31.2425499263694</v>
      </c>
      <c r="W18" s="8" t="s">
        <v>1262</v>
      </c>
      <c r="X18">
        <v>7.692</v>
      </c>
    </row>
    <row r="19" spans="1:24">
      <c r="A19" s="8">
        <v>5626</v>
      </c>
      <c r="B19" s="9">
        <v>45292</v>
      </c>
      <c r="C19" s="8" t="s">
        <v>604</v>
      </c>
      <c r="D19" s="8">
        <v>121.47817345462</v>
      </c>
      <c r="E19" s="8">
        <v>31.1578653986216</v>
      </c>
      <c r="F19" s="8" t="s">
        <v>1300</v>
      </c>
      <c r="G19" s="8" t="s">
        <v>21</v>
      </c>
      <c r="H19" s="10">
        <v>8.02777777777778</v>
      </c>
      <c r="I19" s="8" t="s">
        <v>959</v>
      </c>
      <c r="J19" s="8" t="s">
        <v>601</v>
      </c>
      <c r="K19" s="8" t="s">
        <v>601</v>
      </c>
      <c r="L19" s="8" t="s">
        <v>50</v>
      </c>
      <c r="M19" s="8">
        <v>160</v>
      </c>
      <c r="N19" s="8" t="s">
        <v>1258</v>
      </c>
      <c r="O19" s="11">
        <v>160</v>
      </c>
      <c r="P19" s="8" t="s">
        <v>75</v>
      </c>
      <c r="Q19" s="8" t="s">
        <v>13</v>
      </c>
      <c r="R19" s="8" t="s">
        <v>1537</v>
      </c>
      <c r="S19" s="12" t="s">
        <v>1538</v>
      </c>
      <c r="T19" s="8" t="s">
        <v>1539</v>
      </c>
      <c r="U19" s="8">
        <v>121.277780338416</v>
      </c>
      <c r="V19" s="8">
        <v>31.217451764516</v>
      </c>
      <c r="W19" s="8" t="s">
        <v>1262</v>
      </c>
      <c r="X19">
        <v>24.425</v>
      </c>
    </row>
    <row r="20" spans="1:24">
      <c r="A20" s="8">
        <v>5630</v>
      </c>
      <c r="B20" s="9">
        <v>45295</v>
      </c>
      <c r="C20" s="8" t="s">
        <v>63</v>
      </c>
      <c r="D20" s="8">
        <v>121.4695908</v>
      </c>
      <c r="E20" s="8">
        <v>31.1724856</v>
      </c>
      <c r="F20" s="8" t="s">
        <v>1268</v>
      </c>
      <c r="G20" s="8" t="s">
        <v>21</v>
      </c>
      <c r="H20" s="13">
        <v>3.66666666666667</v>
      </c>
      <c r="I20" s="8" t="s">
        <v>1168</v>
      </c>
      <c r="J20" s="8" t="s">
        <v>165</v>
      </c>
      <c r="K20" s="8" t="s">
        <v>165</v>
      </c>
      <c r="L20" s="8" t="s">
        <v>50</v>
      </c>
      <c r="M20" s="8">
        <v>1186</v>
      </c>
      <c r="N20" s="8" t="s">
        <v>1258</v>
      </c>
      <c r="O20" s="11">
        <v>1186</v>
      </c>
      <c r="P20" s="8" t="s">
        <v>66</v>
      </c>
      <c r="Q20" s="8" t="s">
        <v>13</v>
      </c>
      <c r="R20" s="8" t="s">
        <v>1540</v>
      </c>
      <c r="S20" s="12" t="s">
        <v>1541</v>
      </c>
      <c r="T20" s="8" t="s">
        <v>1542</v>
      </c>
      <c r="U20" s="8">
        <v>121.312686673946</v>
      </c>
      <c r="V20" s="8">
        <v>31.19050189582</v>
      </c>
      <c r="W20" s="8" t="s">
        <v>1262</v>
      </c>
      <c r="X20">
        <v>20.786</v>
      </c>
    </row>
    <row r="21" spans="1:24">
      <c r="A21" s="8">
        <v>5700</v>
      </c>
      <c r="B21" s="9">
        <v>45350</v>
      </c>
      <c r="C21" s="8" t="s">
        <v>462</v>
      </c>
      <c r="D21" s="8">
        <v>121.4358335038</v>
      </c>
      <c r="E21" s="8">
        <v>31.2431872063</v>
      </c>
      <c r="F21" s="8" t="s">
        <v>1543</v>
      </c>
      <c r="G21" s="8" t="s">
        <v>21</v>
      </c>
      <c r="H21" s="10">
        <v>5.85555555555556</v>
      </c>
      <c r="I21" s="8" t="s">
        <v>464</v>
      </c>
      <c r="J21" s="8" t="s">
        <v>165</v>
      </c>
      <c r="K21" s="8" t="s">
        <v>165</v>
      </c>
      <c r="L21" s="8" t="s">
        <v>50</v>
      </c>
      <c r="M21" s="8">
        <v>300</v>
      </c>
      <c r="N21" s="8" t="s">
        <v>1258</v>
      </c>
      <c r="O21" s="11">
        <v>300</v>
      </c>
      <c r="P21" s="8" t="s">
        <v>66</v>
      </c>
      <c r="Q21" s="8" t="s">
        <v>13</v>
      </c>
      <c r="R21" s="8" t="s">
        <v>1544</v>
      </c>
      <c r="S21" s="12" t="s">
        <v>1545</v>
      </c>
      <c r="T21" s="8" t="s">
        <v>1546</v>
      </c>
      <c r="U21" s="8">
        <v>121.417450367687</v>
      </c>
      <c r="V21" s="8">
        <v>31.2364637208909</v>
      </c>
      <c r="W21" s="8" t="s">
        <v>1262</v>
      </c>
      <c r="X21">
        <v>2.783</v>
      </c>
    </row>
    <row r="22" spans="1:24">
      <c r="A22" s="8">
        <v>4763</v>
      </c>
      <c r="B22" s="9">
        <v>44931</v>
      </c>
      <c r="C22" s="8" t="s">
        <v>810</v>
      </c>
      <c r="D22" s="8">
        <v>121.540161167296</v>
      </c>
      <c r="E22" s="8">
        <v>31.2510902949661</v>
      </c>
      <c r="F22" s="8" t="s">
        <v>1344</v>
      </c>
      <c r="G22" s="8" t="s">
        <v>21</v>
      </c>
      <c r="H22" s="13">
        <v>5.5</v>
      </c>
      <c r="I22" s="8" t="s">
        <v>811</v>
      </c>
      <c r="J22" s="8" t="s">
        <v>171</v>
      </c>
      <c r="K22" s="8" t="s">
        <v>171</v>
      </c>
      <c r="L22" s="8" t="s">
        <v>50</v>
      </c>
      <c r="M22" s="8">
        <v>3500</v>
      </c>
      <c r="N22" s="8" t="s">
        <v>1258</v>
      </c>
      <c r="O22" s="11">
        <v>3500</v>
      </c>
      <c r="P22" s="8" t="s">
        <v>43</v>
      </c>
      <c r="Q22" s="8" t="s">
        <v>52</v>
      </c>
      <c r="R22" s="8" t="s">
        <v>1306</v>
      </c>
      <c r="S22" s="12" t="s">
        <v>869</v>
      </c>
      <c r="T22" s="8" t="s">
        <v>869</v>
      </c>
      <c r="U22" s="8">
        <v>121.526253068082</v>
      </c>
      <c r="V22" s="8">
        <v>31.2269159272173</v>
      </c>
      <c r="W22" s="8" t="s">
        <v>32</v>
      </c>
      <c r="X22">
        <v>4.666</v>
      </c>
    </row>
    <row r="23" spans="1:24">
      <c r="A23" s="8">
        <v>4800</v>
      </c>
      <c r="B23" s="9">
        <v>44958</v>
      </c>
      <c r="C23" s="8" t="s">
        <v>380</v>
      </c>
      <c r="D23" s="8">
        <v>121.4775948</v>
      </c>
      <c r="E23" s="8">
        <v>31.16000255</v>
      </c>
      <c r="F23" s="8" t="s">
        <v>1300</v>
      </c>
      <c r="G23" s="8" t="s">
        <v>21</v>
      </c>
      <c r="H23" s="10">
        <v>7.66666666666667</v>
      </c>
      <c r="I23" s="8" t="s">
        <v>381</v>
      </c>
      <c r="J23" s="8" t="s">
        <v>165</v>
      </c>
      <c r="K23" s="8" t="s">
        <v>165</v>
      </c>
      <c r="L23" s="8" t="s">
        <v>50</v>
      </c>
      <c r="M23" s="8">
        <v>481.4</v>
      </c>
      <c r="N23" s="8"/>
      <c r="O23" s="11">
        <v>481.4</v>
      </c>
      <c r="P23" s="8" t="s">
        <v>245</v>
      </c>
      <c r="Q23" s="8" t="s">
        <v>52</v>
      </c>
      <c r="R23" s="8" t="s">
        <v>1547</v>
      </c>
      <c r="S23" s="12" t="s">
        <v>1548</v>
      </c>
      <c r="T23" s="8" t="s">
        <v>1549</v>
      </c>
      <c r="U23" s="8">
        <v>121.497857351053</v>
      </c>
      <c r="V23" s="8">
        <v>31.2390781880842</v>
      </c>
      <c r="W23" s="8" t="s">
        <v>32</v>
      </c>
      <c r="X23">
        <v>11.079</v>
      </c>
    </row>
    <row r="24" spans="1:24">
      <c r="A24" s="8">
        <v>4854</v>
      </c>
      <c r="B24" s="9">
        <v>44986</v>
      </c>
      <c r="C24" s="8" t="s">
        <v>759</v>
      </c>
      <c r="D24" s="8">
        <v>121.476186</v>
      </c>
      <c r="E24" s="8">
        <v>31.223394</v>
      </c>
      <c r="F24" s="8" t="s">
        <v>1334</v>
      </c>
      <c r="G24" s="8" t="s">
        <v>32</v>
      </c>
      <c r="H24" s="13">
        <v>9.16666666666667</v>
      </c>
      <c r="I24" s="8" t="s">
        <v>837</v>
      </c>
      <c r="J24" s="8" t="s">
        <v>165</v>
      </c>
      <c r="K24" s="8" t="s">
        <v>165</v>
      </c>
      <c r="L24" s="8" t="s">
        <v>50</v>
      </c>
      <c r="M24" s="8">
        <v>4500</v>
      </c>
      <c r="N24" s="8" t="s">
        <v>1258</v>
      </c>
      <c r="O24" s="11">
        <v>4500</v>
      </c>
      <c r="P24" s="8" t="s">
        <v>43</v>
      </c>
      <c r="Q24" s="8" t="s">
        <v>13</v>
      </c>
      <c r="R24" s="8" t="s">
        <v>1550</v>
      </c>
      <c r="S24" s="12" t="s">
        <v>1550</v>
      </c>
      <c r="T24" s="8" t="s">
        <v>1551</v>
      </c>
      <c r="U24" s="8">
        <v>121.495241001277</v>
      </c>
      <c r="V24" s="8">
        <v>31.2259787799716</v>
      </c>
      <c r="W24" s="8" t="s">
        <v>32</v>
      </c>
      <c r="X24">
        <v>2.677</v>
      </c>
    </row>
    <row r="25" spans="1:24">
      <c r="A25" s="8">
        <v>4864</v>
      </c>
      <c r="B25" s="9">
        <v>44986</v>
      </c>
      <c r="C25" s="8" t="s">
        <v>644</v>
      </c>
      <c r="D25" s="8">
        <v>121.4490554</v>
      </c>
      <c r="E25" s="8">
        <v>31.24525268</v>
      </c>
      <c r="F25" s="8" t="s">
        <v>1467</v>
      </c>
      <c r="G25" s="8" t="s">
        <v>21</v>
      </c>
      <c r="H25" s="13">
        <v>6.41666666666667</v>
      </c>
      <c r="I25" s="8" t="s">
        <v>645</v>
      </c>
      <c r="J25" s="8" t="s">
        <v>477</v>
      </c>
      <c r="K25" s="8" t="s">
        <v>477</v>
      </c>
      <c r="L25" s="8" t="s">
        <v>50</v>
      </c>
      <c r="M25" s="8">
        <v>1500</v>
      </c>
      <c r="N25" s="8" t="s">
        <v>1258</v>
      </c>
      <c r="O25" s="11">
        <v>1500</v>
      </c>
      <c r="P25" s="8" t="s">
        <v>66</v>
      </c>
      <c r="Q25" s="8" t="s">
        <v>13</v>
      </c>
      <c r="R25" s="8" t="s">
        <v>1552</v>
      </c>
      <c r="S25" s="12" t="s">
        <v>1553</v>
      </c>
      <c r="T25" s="8" t="s">
        <v>1554</v>
      </c>
      <c r="U25" s="8">
        <v>121.457578774952</v>
      </c>
      <c r="V25" s="8">
        <v>31.2297640095577</v>
      </c>
      <c r="W25" s="8" t="s">
        <v>32</v>
      </c>
      <c r="X25">
        <v>2.23</v>
      </c>
    </row>
    <row r="26" spans="1:24">
      <c r="A26" s="8">
        <v>4913</v>
      </c>
      <c r="B26" s="9">
        <v>44986</v>
      </c>
      <c r="C26" s="8" t="s">
        <v>883</v>
      </c>
      <c r="D26" s="8">
        <v>121.4325713</v>
      </c>
      <c r="E26" s="8">
        <v>31.19586384</v>
      </c>
      <c r="F26" s="8" t="s">
        <v>1436</v>
      </c>
      <c r="G26" s="8" t="s">
        <v>32</v>
      </c>
      <c r="H26" s="10">
        <v>8.38481012658228</v>
      </c>
      <c r="I26" s="8" t="s">
        <v>884</v>
      </c>
      <c r="J26" s="8" t="s">
        <v>171</v>
      </c>
      <c r="K26" s="8" t="s">
        <v>171</v>
      </c>
      <c r="L26" s="8" t="s">
        <v>50</v>
      </c>
      <c r="M26" s="8">
        <v>341.54</v>
      </c>
      <c r="N26" s="8"/>
      <c r="O26" s="11">
        <v>341.54</v>
      </c>
      <c r="P26" s="8" t="s">
        <v>43</v>
      </c>
      <c r="Q26" s="8" t="s">
        <v>52</v>
      </c>
      <c r="R26" s="8" t="s">
        <v>1555</v>
      </c>
      <c r="S26" s="12" t="s">
        <v>1555</v>
      </c>
      <c r="T26" s="8" t="s">
        <v>1556</v>
      </c>
      <c r="U26" s="8">
        <v>121.468436900291</v>
      </c>
      <c r="V26" s="8">
        <v>31.2241582828569</v>
      </c>
      <c r="W26" s="8" t="s">
        <v>32</v>
      </c>
      <c r="X26">
        <v>5.71</v>
      </c>
    </row>
    <row r="27" spans="1:24">
      <c r="A27" s="8">
        <v>4995</v>
      </c>
      <c r="B27" s="9">
        <v>45047</v>
      </c>
      <c r="C27" s="8" t="s">
        <v>704</v>
      </c>
      <c r="D27" s="8">
        <v>121.3111928</v>
      </c>
      <c r="E27" s="8">
        <v>31.19860388</v>
      </c>
      <c r="F27" s="8" t="s">
        <v>1518</v>
      </c>
      <c r="G27" s="8" t="s">
        <v>21</v>
      </c>
      <c r="H27" s="13">
        <v>4.6</v>
      </c>
      <c r="I27" s="8" t="s">
        <v>705</v>
      </c>
      <c r="J27" s="8" t="s">
        <v>116</v>
      </c>
      <c r="K27" s="8" t="s">
        <v>116</v>
      </c>
      <c r="L27" s="8" t="s">
        <v>50</v>
      </c>
      <c r="M27" s="8">
        <v>13693.66</v>
      </c>
      <c r="N27" s="8"/>
      <c r="O27" s="11">
        <v>13693.66</v>
      </c>
      <c r="P27" s="8" t="s">
        <v>43</v>
      </c>
      <c r="Q27" s="8" t="s">
        <v>52</v>
      </c>
      <c r="R27" s="8" t="s">
        <v>1557</v>
      </c>
      <c r="S27" s="12" t="s">
        <v>1558</v>
      </c>
      <c r="T27" s="8" t="s">
        <v>1558</v>
      </c>
      <c r="U27" s="8">
        <v>121.448503330181</v>
      </c>
      <c r="V27" s="8">
        <v>31.2294290024205</v>
      </c>
      <c r="W27" s="8" t="s">
        <v>32</v>
      </c>
      <c r="X27">
        <v>15.906</v>
      </c>
    </row>
    <row r="28" spans="1:24">
      <c r="A28" s="8">
        <v>5022</v>
      </c>
      <c r="B28" s="9">
        <v>45047</v>
      </c>
      <c r="C28" s="8" t="s">
        <v>365</v>
      </c>
      <c r="D28" s="8">
        <v>121.405373946239</v>
      </c>
      <c r="E28" s="8">
        <v>31.2504417128511</v>
      </c>
      <c r="F28" s="8" t="s">
        <v>1498</v>
      </c>
      <c r="G28" s="8" t="s">
        <v>21</v>
      </c>
      <c r="H28" s="13">
        <v>4.125</v>
      </c>
      <c r="I28" s="8" t="s">
        <v>899</v>
      </c>
      <c r="J28" s="8" t="s">
        <v>477</v>
      </c>
      <c r="K28" s="8" t="s">
        <v>477</v>
      </c>
      <c r="L28" s="8" t="s">
        <v>50</v>
      </c>
      <c r="M28" s="8">
        <v>1500</v>
      </c>
      <c r="N28" s="8" t="s">
        <v>1258</v>
      </c>
      <c r="O28" s="11">
        <v>1500</v>
      </c>
      <c r="P28" s="8" t="s">
        <v>26</v>
      </c>
      <c r="Q28" s="8" t="s">
        <v>13</v>
      </c>
      <c r="R28" s="8" t="s">
        <v>1559</v>
      </c>
      <c r="S28" s="12" t="s">
        <v>1560</v>
      </c>
      <c r="T28" s="8" t="s">
        <v>1561</v>
      </c>
      <c r="U28" s="8">
        <v>121.411432601517</v>
      </c>
      <c r="V28" s="8">
        <v>31.2209826920484</v>
      </c>
      <c r="W28" s="8" t="s">
        <v>32</v>
      </c>
      <c r="X28">
        <v>4.075</v>
      </c>
    </row>
    <row r="29" spans="1:24">
      <c r="A29" s="8">
        <v>4999</v>
      </c>
      <c r="B29" s="9">
        <v>45047</v>
      </c>
      <c r="C29" s="8" t="s">
        <v>341</v>
      </c>
      <c r="D29" s="8">
        <v>121.4511484</v>
      </c>
      <c r="E29" s="8">
        <v>31.23042875</v>
      </c>
      <c r="F29" s="8" t="s">
        <v>1293</v>
      </c>
      <c r="G29" s="8" t="s">
        <v>32</v>
      </c>
      <c r="H29" s="10">
        <v>8.6</v>
      </c>
      <c r="I29" s="8" t="s">
        <v>889</v>
      </c>
      <c r="J29" s="8" t="s">
        <v>165</v>
      </c>
      <c r="K29" s="8" t="s">
        <v>165</v>
      </c>
      <c r="L29" s="8" t="s">
        <v>50</v>
      </c>
      <c r="M29" s="8">
        <v>215.36</v>
      </c>
      <c r="N29" s="8"/>
      <c r="O29" s="11">
        <v>215.36</v>
      </c>
      <c r="P29" s="8" t="s">
        <v>245</v>
      </c>
      <c r="Q29" s="8" t="s">
        <v>52</v>
      </c>
      <c r="R29" s="8" t="s">
        <v>1562</v>
      </c>
      <c r="S29" s="12" t="s">
        <v>1563</v>
      </c>
      <c r="T29" s="8" t="s">
        <v>442</v>
      </c>
      <c r="U29" s="8">
        <v>121.43995656727</v>
      </c>
      <c r="V29" s="8">
        <v>31.2231288869008</v>
      </c>
      <c r="W29" s="8" t="s">
        <v>32</v>
      </c>
      <c r="X29">
        <v>1.707</v>
      </c>
    </row>
    <row r="30" spans="1:24">
      <c r="A30" s="8">
        <v>5143</v>
      </c>
      <c r="B30" s="9">
        <v>45078</v>
      </c>
      <c r="C30" s="8" t="s">
        <v>114</v>
      </c>
      <c r="D30" s="8">
        <v>121.5291132</v>
      </c>
      <c r="E30" s="8">
        <v>31.22843925</v>
      </c>
      <c r="F30" s="8" t="s">
        <v>1257</v>
      </c>
      <c r="G30" s="8" t="s">
        <v>32</v>
      </c>
      <c r="H30" s="13">
        <v>6.14166666666667</v>
      </c>
      <c r="I30" s="8" t="s">
        <v>115</v>
      </c>
      <c r="J30" s="8" t="s">
        <v>116</v>
      </c>
      <c r="K30" s="8" t="s">
        <v>116</v>
      </c>
      <c r="L30" s="8" t="s">
        <v>50</v>
      </c>
      <c r="M30" s="8">
        <v>1975</v>
      </c>
      <c r="N30" s="8" t="s">
        <v>1258</v>
      </c>
      <c r="O30" s="11">
        <v>1975</v>
      </c>
      <c r="P30" s="8" t="s">
        <v>43</v>
      </c>
      <c r="Q30" s="8" t="s">
        <v>13</v>
      </c>
      <c r="R30" s="8" t="s">
        <v>1564</v>
      </c>
      <c r="S30" s="12" t="s">
        <v>1564</v>
      </c>
      <c r="T30" s="8" t="s">
        <v>1448</v>
      </c>
      <c r="U30" s="8">
        <v>121.530368666367</v>
      </c>
      <c r="V30" s="8">
        <v>31.2254667307708</v>
      </c>
      <c r="W30" s="8" t="s">
        <v>32</v>
      </c>
      <c r="X30">
        <v>0.57</v>
      </c>
    </row>
    <row r="31" spans="1:24">
      <c r="A31" s="8">
        <v>5122</v>
      </c>
      <c r="B31" s="9">
        <v>45078</v>
      </c>
      <c r="C31" s="8" t="s">
        <v>496</v>
      </c>
      <c r="D31" s="8">
        <v>121.4029448</v>
      </c>
      <c r="E31" s="8">
        <v>31.21007854</v>
      </c>
      <c r="F31" s="8" t="s">
        <v>1565</v>
      </c>
      <c r="G31" s="8" t="s">
        <v>32</v>
      </c>
      <c r="H31" s="13">
        <v>6.96666666666667</v>
      </c>
      <c r="I31" s="8" t="s">
        <v>497</v>
      </c>
      <c r="J31" s="8" t="s">
        <v>74</v>
      </c>
      <c r="K31" s="8" t="s">
        <v>74</v>
      </c>
      <c r="L31" s="8" t="s">
        <v>50</v>
      </c>
      <c r="M31" s="8">
        <v>1200</v>
      </c>
      <c r="N31" s="8" t="s">
        <v>1258</v>
      </c>
      <c r="O31" s="11">
        <v>1200</v>
      </c>
      <c r="P31" s="8" t="s">
        <v>51</v>
      </c>
      <c r="Q31" s="8" t="s">
        <v>52</v>
      </c>
      <c r="R31" s="8" t="s">
        <v>1566</v>
      </c>
      <c r="S31" s="12" t="s">
        <v>1567</v>
      </c>
      <c r="T31" s="8" t="s">
        <v>1568</v>
      </c>
      <c r="U31" s="8">
        <v>121.452004439358</v>
      </c>
      <c r="V31" s="8">
        <v>31.2335318471254</v>
      </c>
      <c r="W31" s="8" t="s">
        <v>32</v>
      </c>
      <c r="X31">
        <v>6.104</v>
      </c>
    </row>
    <row r="32" spans="1:24">
      <c r="A32" s="8">
        <v>5177</v>
      </c>
      <c r="B32" s="9">
        <v>45107</v>
      </c>
      <c r="C32" s="8" t="s">
        <v>644</v>
      </c>
      <c r="D32" s="8">
        <v>121.4490554</v>
      </c>
      <c r="E32" s="8">
        <v>31.24525268</v>
      </c>
      <c r="F32" s="8" t="s">
        <v>1467</v>
      </c>
      <c r="G32" s="8" t="s">
        <v>21</v>
      </c>
      <c r="H32" s="13">
        <v>6.41666666666667</v>
      </c>
      <c r="I32" s="8" t="s">
        <v>666</v>
      </c>
      <c r="J32" s="8" t="s">
        <v>477</v>
      </c>
      <c r="K32" s="8" t="s">
        <v>477</v>
      </c>
      <c r="L32" s="8" t="s">
        <v>50</v>
      </c>
      <c r="M32" s="8">
        <v>1500</v>
      </c>
      <c r="N32" s="8" t="s">
        <v>1258</v>
      </c>
      <c r="O32" s="11">
        <v>1500</v>
      </c>
      <c r="P32" s="8" t="s">
        <v>43</v>
      </c>
      <c r="Q32" s="8" t="s">
        <v>13</v>
      </c>
      <c r="R32" s="8" t="s">
        <v>1552</v>
      </c>
      <c r="S32" s="12" t="s">
        <v>1553</v>
      </c>
      <c r="T32" s="8" t="s">
        <v>1554</v>
      </c>
      <c r="U32" s="8">
        <v>121.457578774952</v>
      </c>
      <c r="V32" s="8">
        <v>31.2297640095577</v>
      </c>
      <c r="W32" s="8" t="s">
        <v>32</v>
      </c>
      <c r="X32">
        <v>2.23</v>
      </c>
    </row>
    <row r="33" spans="1:24">
      <c r="A33" s="8">
        <v>5169</v>
      </c>
      <c r="B33" s="9">
        <v>45107</v>
      </c>
      <c r="C33" s="8" t="s">
        <v>466</v>
      </c>
      <c r="D33" s="8">
        <v>121.534892407912</v>
      </c>
      <c r="E33" s="8">
        <v>31.2234112502917</v>
      </c>
      <c r="F33" s="8" t="s">
        <v>1257</v>
      </c>
      <c r="G33" s="8" t="s">
        <v>32</v>
      </c>
      <c r="H33" s="13">
        <v>7.60833333333333</v>
      </c>
      <c r="I33" s="8" t="s">
        <v>776</v>
      </c>
      <c r="J33" s="8" t="s">
        <v>165</v>
      </c>
      <c r="K33" s="8" t="s">
        <v>165</v>
      </c>
      <c r="L33" s="8" t="s">
        <v>50</v>
      </c>
      <c r="M33" s="8">
        <v>292.2</v>
      </c>
      <c r="N33" s="8" t="s">
        <v>1258</v>
      </c>
      <c r="O33" s="11">
        <v>292.2</v>
      </c>
      <c r="P33" s="8" t="s">
        <v>66</v>
      </c>
      <c r="Q33" s="8" t="s">
        <v>13</v>
      </c>
      <c r="R33" s="8" t="s">
        <v>1569</v>
      </c>
      <c r="S33" s="12" t="s">
        <v>1570</v>
      </c>
      <c r="T33" s="8" t="s">
        <v>1571</v>
      </c>
      <c r="U33" s="8">
        <v>121.528341029554</v>
      </c>
      <c r="V33" s="8">
        <v>31.2271152184757</v>
      </c>
      <c r="W33" s="8" t="s">
        <v>32</v>
      </c>
      <c r="X33">
        <v>1.01</v>
      </c>
    </row>
    <row r="34" spans="1:24">
      <c r="A34" s="8">
        <v>5215</v>
      </c>
      <c r="B34" s="9">
        <v>45108</v>
      </c>
      <c r="C34" s="8" t="s">
        <v>370</v>
      </c>
      <c r="D34" s="8">
        <v>121.50570658393</v>
      </c>
      <c r="E34" s="8">
        <v>31.2432277512031</v>
      </c>
      <c r="F34" s="8" t="s">
        <v>1275</v>
      </c>
      <c r="G34" s="8" t="s">
        <v>32</v>
      </c>
      <c r="H34" s="10">
        <v>7.36666666666667</v>
      </c>
      <c r="I34" s="8" t="s">
        <v>371</v>
      </c>
      <c r="J34" s="8" t="s">
        <v>165</v>
      </c>
      <c r="K34" s="8" t="s">
        <v>165</v>
      </c>
      <c r="L34" s="8" t="s">
        <v>50</v>
      </c>
      <c r="M34" s="8">
        <v>2763.2</v>
      </c>
      <c r="N34" s="8"/>
      <c r="O34" s="11">
        <v>2763.2</v>
      </c>
      <c r="P34" s="8" t="s">
        <v>51</v>
      </c>
      <c r="Q34" s="8" t="s">
        <v>13</v>
      </c>
      <c r="R34" s="8" t="s">
        <v>1572</v>
      </c>
      <c r="S34" s="12" t="s">
        <v>1573</v>
      </c>
      <c r="T34" s="8" t="s">
        <v>1574</v>
      </c>
      <c r="U34" s="8">
        <v>121.503688289429</v>
      </c>
      <c r="V34" s="8">
        <v>31.2412722286956</v>
      </c>
      <c r="W34" s="8" t="s">
        <v>32</v>
      </c>
      <c r="X34">
        <v>0.515</v>
      </c>
    </row>
    <row r="35" spans="1:24">
      <c r="A35" s="8">
        <v>5246</v>
      </c>
      <c r="B35" s="9">
        <v>45122</v>
      </c>
      <c r="C35" s="8" t="s">
        <v>516</v>
      </c>
      <c r="D35" s="8">
        <v>121.475059396253</v>
      </c>
      <c r="E35" s="8">
        <v>31.2447779044237</v>
      </c>
      <c r="F35" s="8" t="s">
        <v>1529</v>
      </c>
      <c r="G35" s="8" t="s">
        <v>21</v>
      </c>
      <c r="H35" s="13">
        <v>6.875</v>
      </c>
      <c r="I35" s="8" t="s">
        <v>1060</v>
      </c>
      <c r="J35" s="8" t="s">
        <v>165</v>
      </c>
      <c r="K35" s="8" t="s">
        <v>165</v>
      </c>
      <c r="L35" s="8" t="s">
        <v>50</v>
      </c>
      <c r="M35" s="8">
        <v>1100</v>
      </c>
      <c r="N35" s="8" t="s">
        <v>1258</v>
      </c>
      <c r="O35" s="11">
        <v>1100</v>
      </c>
      <c r="P35" s="8" t="s">
        <v>66</v>
      </c>
      <c r="Q35" s="8" t="s">
        <v>13</v>
      </c>
      <c r="R35" s="8" t="s">
        <v>1575</v>
      </c>
      <c r="S35" s="12" t="s">
        <v>1576</v>
      </c>
      <c r="T35" s="8" t="s">
        <v>1576</v>
      </c>
      <c r="U35" s="8">
        <v>121.428904439382</v>
      </c>
      <c r="V35" s="8">
        <v>31.21163482149</v>
      </c>
      <c r="W35" s="8" t="s">
        <v>32</v>
      </c>
      <c r="X35">
        <v>6.863</v>
      </c>
    </row>
    <row r="36" spans="1:24">
      <c r="A36" s="8">
        <v>5249</v>
      </c>
      <c r="B36" s="9">
        <v>45128</v>
      </c>
      <c r="C36" s="8" t="s">
        <v>924</v>
      </c>
      <c r="D36" s="8">
        <v>121.4331372</v>
      </c>
      <c r="E36" s="8">
        <v>31.1968013</v>
      </c>
      <c r="F36" s="8" t="s">
        <v>1436</v>
      </c>
      <c r="G36" s="8" t="s">
        <v>32</v>
      </c>
      <c r="H36" s="10">
        <v>7.6</v>
      </c>
      <c r="I36" s="8" t="s">
        <v>1139</v>
      </c>
      <c r="J36" s="8" t="s">
        <v>477</v>
      </c>
      <c r="K36" s="8" t="s">
        <v>477</v>
      </c>
      <c r="L36" s="8" t="s">
        <v>50</v>
      </c>
      <c r="M36" s="8">
        <v>4000</v>
      </c>
      <c r="N36" s="8" t="s">
        <v>1258</v>
      </c>
      <c r="O36" s="11">
        <v>4000</v>
      </c>
      <c r="P36" s="8" t="s">
        <v>43</v>
      </c>
      <c r="Q36" s="8" t="s">
        <v>13</v>
      </c>
      <c r="R36" s="8" t="s">
        <v>1577</v>
      </c>
      <c r="S36" s="12" t="s">
        <v>1577</v>
      </c>
      <c r="T36" s="8" t="s">
        <v>1578</v>
      </c>
      <c r="U36" s="8">
        <v>121.435402209641</v>
      </c>
      <c r="V36" s="8">
        <v>31.1937178235493</v>
      </c>
      <c r="W36" s="8" t="s">
        <v>32</v>
      </c>
      <c r="X36">
        <v>1.05</v>
      </c>
    </row>
    <row r="37" spans="1:24">
      <c r="A37" s="8">
        <v>5313</v>
      </c>
      <c r="B37" s="9">
        <v>45162</v>
      </c>
      <c r="C37" s="8" t="s">
        <v>896</v>
      </c>
      <c r="D37" s="8">
        <v>121.472196</v>
      </c>
      <c r="E37" s="8">
        <v>31.23476864</v>
      </c>
      <c r="F37" s="8" t="s">
        <v>1579</v>
      </c>
      <c r="G37" s="8" t="s">
        <v>32</v>
      </c>
      <c r="H37" s="13">
        <v>9.16666666666667</v>
      </c>
      <c r="I37" s="8" t="s">
        <v>1160</v>
      </c>
      <c r="J37" s="8" t="s">
        <v>601</v>
      </c>
      <c r="K37" s="8" t="s">
        <v>601</v>
      </c>
      <c r="L37" s="8" t="s">
        <v>50</v>
      </c>
      <c r="M37" s="8">
        <v>2500</v>
      </c>
      <c r="N37" s="8" t="s">
        <v>1258</v>
      </c>
      <c r="O37" s="11">
        <v>2500</v>
      </c>
      <c r="P37" s="8" t="s">
        <v>66</v>
      </c>
      <c r="Q37" s="8" t="s">
        <v>13</v>
      </c>
      <c r="R37" s="8" t="s">
        <v>1580</v>
      </c>
      <c r="S37" s="12" t="s">
        <v>1581</v>
      </c>
      <c r="T37" s="8" t="s">
        <v>1582</v>
      </c>
      <c r="U37" s="30">
        <v>121.433898918444</v>
      </c>
      <c r="V37" s="8">
        <v>31.1927763387969</v>
      </c>
      <c r="W37" s="8" t="s">
        <v>32</v>
      </c>
      <c r="X37">
        <v>7.216</v>
      </c>
    </row>
    <row r="38" ht="126" spans="1:24">
      <c r="A38" s="8">
        <v>5355</v>
      </c>
      <c r="B38" s="9">
        <v>45170</v>
      </c>
      <c r="C38" s="8" t="s">
        <v>462</v>
      </c>
      <c r="D38" s="8">
        <v>121.4358335038</v>
      </c>
      <c r="E38" s="8">
        <v>31.2431872063</v>
      </c>
      <c r="F38" s="8" t="s">
        <v>1543</v>
      </c>
      <c r="G38" s="8" t="s">
        <v>21</v>
      </c>
      <c r="H38" s="10">
        <v>4.88</v>
      </c>
      <c r="I38" s="17" t="s">
        <v>788</v>
      </c>
      <c r="J38" s="8" t="s">
        <v>477</v>
      </c>
      <c r="K38" s="8" t="s">
        <v>477</v>
      </c>
      <c r="L38" s="8" t="s">
        <v>50</v>
      </c>
      <c r="M38" s="8">
        <v>3565.24</v>
      </c>
      <c r="N38" s="8" t="s">
        <v>1258</v>
      </c>
      <c r="O38" s="11">
        <v>3565.24</v>
      </c>
      <c r="P38" s="8" t="s">
        <v>43</v>
      </c>
      <c r="Q38" s="8" t="s">
        <v>13</v>
      </c>
      <c r="R38" s="8" t="s">
        <v>1583</v>
      </c>
      <c r="S38" s="12" t="s">
        <v>1583</v>
      </c>
      <c r="T38" s="8" t="s">
        <v>1584</v>
      </c>
      <c r="U38" s="8">
        <v>121.475577522728</v>
      </c>
      <c r="V38" s="8">
        <v>31.2270673041249</v>
      </c>
      <c r="W38" s="8" t="s">
        <v>32</v>
      </c>
      <c r="X38">
        <v>5.35</v>
      </c>
    </row>
    <row r="39" spans="1:24">
      <c r="A39" s="8">
        <v>5340</v>
      </c>
      <c r="B39" s="9">
        <v>45170</v>
      </c>
      <c r="C39" s="8" t="s">
        <v>516</v>
      </c>
      <c r="D39" s="8">
        <v>121.475059396253</v>
      </c>
      <c r="E39" s="8">
        <v>31.2447779044237</v>
      </c>
      <c r="F39" s="8" t="s">
        <v>1529</v>
      </c>
      <c r="G39" s="8" t="s">
        <v>21</v>
      </c>
      <c r="H39" s="10">
        <v>6.6</v>
      </c>
      <c r="I39" s="8" t="s">
        <v>1049</v>
      </c>
      <c r="J39" s="8" t="s">
        <v>477</v>
      </c>
      <c r="K39" s="8" t="s">
        <v>477</v>
      </c>
      <c r="L39" s="8" t="s">
        <v>50</v>
      </c>
      <c r="M39" s="8">
        <v>2071.01</v>
      </c>
      <c r="N39" s="8" t="s">
        <v>1258</v>
      </c>
      <c r="O39" s="11">
        <v>2071.01</v>
      </c>
      <c r="P39" s="8" t="s">
        <v>43</v>
      </c>
      <c r="Q39" s="8" t="s">
        <v>13</v>
      </c>
      <c r="R39" s="8" t="s">
        <v>1585</v>
      </c>
      <c r="S39" s="12" t="s">
        <v>1586</v>
      </c>
      <c r="T39" s="8" t="s">
        <v>1587</v>
      </c>
      <c r="U39" s="8">
        <v>121.466691624043</v>
      </c>
      <c r="V39" s="8">
        <v>31.2126337907567</v>
      </c>
      <c r="W39" s="8" t="s">
        <v>32</v>
      </c>
      <c r="X39">
        <v>4.98</v>
      </c>
    </row>
    <row r="40" spans="1:24">
      <c r="A40" s="8">
        <v>5429</v>
      </c>
      <c r="B40" s="9">
        <v>45200</v>
      </c>
      <c r="C40" s="8" t="s">
        <v>812</v>
      </c>
      <c r="D40" s="8">
        <v>121.4481391</v>
      </c>
      <c r="E40" s="8">
        <v>31.24794071</v>
      </c>
      <c r="F40" s="8" t="s">
        <v>1467</v>
      </c>
      <c r="G40" s="8" t="s">
        <v>21</v>
      </c>
      <c r="H40" s="10">
        <v>5</v>
      </c>
      <c r="I40" s="8" t="s">
        <v>875</v>
      </c>
      <c r="J40" s="8" t="s">
        <v>477</v>
      </c>
      <c r="K40" s="8" t="s">
        <v>477</v>
      </c>
      <c r="L40" s="8" t="s">
        <v>50</v>
      </c>
      <c r="M40" s="8">
        <v>1372.36</v>
      </c>
      <c r="N40" s="8" t="s">
        <v>1258</v>
      </c>
      <c r="O40" s="11">
        <v>1372.36</v>
      </c>
      <c r="P40" s="8" t="s">
        <v>26</v>
      </c>
      <c r="Q40" s="8" t="s">
        <v>52</v>
      </c>
      <c r="R40" s="8" t="s">
        <v>1555</v>
      </c>
      <c r="S40" s="12" t="s">
        <v>1588</v>
      </c>
      <c r="T40" s="8" t="s">
        <v>1556</v>
      </c>
      <c r="U40" s="8">
        <v>121.468436900291</v>
      </c>
      <c r="V40" s="8">
        <v>31.2241582828569</v>
      </c>
      <c r="W40" s="8" t="s">
        <v>32</v>
      </c>
      <c r="X40">
        <v>4.145</v>
      </c>
    </row>
    <row r="41" spans="1:24">
      <c r="A41" s="8">
        <v>5479</v>
      </c>
      <c r="B41" s="9">
        <v>45231</v>
      </c>
      <c r="C41" s="8" t="s">
        <v>782</v>
      </c>
      <c r="D41" s="8">
        <v>121.429883190022</v>
      </c>
      <c r="E41" s="8">
        <v>31.1964452654212</v>
      </c>
      <c r="F41" s="8" t="s">
        <v>1436</v>
      </c>
      <c r="G41" s="8" t="s">
        <v>32</v>
      </c>
      <c r="H41" s="10">
        <v>7.25</v>
      </c>
      <c r="I41" s="8" t="s">
        <v>934</v>
      </c>
      <c r="J41" s="8" t="s">
        <v>165</v>
      </c>
      <c r="K41" s="8" t="s">
        <v>165</v>
      </c>
      <c r="L41" s="8" t="s">
        <v>50</v>
      </c>
      <c r="M41" s="8">
        <v>3273.01</v>
      </c>
      <c r="N41" s="8" t="s">
        <v>1258</v>
      </c>
      <c r="O41" s="11">
        <v>3273.01</v>
      </c>
      <c r="P41" s="8" t="s">
        <v>43</v>
      </c>
      <c r="Q41" s="8" t="s">
        <v>13</v>
      </c>
      <c r="R41" s="8" t="s">
        <v>1589</v>
      </c>
      <c r="S41" s="12" t="s">
        <v>1590</v>
      </c>
      <c r="T41" s="8" t="s">
        <v>1590</v>
      </c>
      <c r="U41" s="8">
        <v>121.410402469554</v>
      </c>
      <c r="V41" s="8">
        <v>31.2188220265635</v>
      </c>
      <c r="W41" s="8" t="s">
        <v>32</v>
      </c>
      <c r="X41">
        <v>4.873</v>
      </c>
    </row>
    <row r="42" spans="1:24">
      <c r="A42" s="8">
        <v>5467</v>
      </c>
      <c r="B42" s="9">
        <v>45231</v>
      </c>
      <c r="C42" s="8" t="s">
        <v>462</v>
      </c>
      <c r="D42" s="8">
        <v>121.4358335038</v>
      </c>
      <c r="E42" s="8">
        <v>31.2431872063</v>
      </c>
      <c r="F42" s="8" t="s">
        <v>1543</v>
      </c>
      <c r="G42" s="8" t="s">
        <v>21</v>
      </c>
      <c r="H42" s="13">
        <v>5.225</v>
      </c>
      <c r="I42" s="8" t="s">
        <v>1057</v>
      </c>
      <c r="J42" s="8" t="s">
        <v>74</v>
      </c>
      <c r="K42" s="8" t="s">
        <v>74</v>
      </c>
      <c r="L42" s="8" t="s">
        <v>50</v>
      </c>
      <c r="M42" s="8">
        <v>2770</v>
      </c>
      <c r="N42" s="8" t="s">
        <v>1258</v>
      </c>
      <c r="O42" s="11">
        <v>2770</v>
      </c>
      <c r="P42" s="8" t="s">
        <v>43</v>
      </c>
      <c r="Q42" s="8" t="s">
        <v>13</v>
      </c>
      <c r="R42" s="8" t="s">
        <v>1585</v>
      </c>
      <c r="S42" s="12" t="s">
        <v>1591</v>
      </c>
      <c r="T42" s="8" t="s">
        <v>1587</v>
      </c>
      <c r="U42" s="8">
        <v>121.466691624043</v>
      </c>
      <c r="V42" s="8">
        <v>31.2126337907567</v>
      </c>
      <c r="W42" s="8" t="s">
        <v>32</v>
      </c>
      <c r="X42">
        <v>5.973</v>
      </c>
    </row>
    <row r="43" spans="1:24">
      <c r="A43" s="8">
        <v>5499</v>
      </c>
      <c r="B43" s="9">
        <v>45231</v>
      </c>
      <c r="C43" s="8" t="s">
        <v>466</v>
      </c>
      <c r="D43" s="8">
        <v>121.534892407912</v>
      </c>
      <c r="E43" s="8">
        <v>31.2234112502917</v>
      </c>
      <c r="F43" s="8" t="s">
        <v>1257</v>
      </c>
      <c r="G43" s="8" t="s">
        <v>32</v>
      </c>
      <c r="H43" s="10">
        <v>7.2</v>
      </c>
      <c r="I43" s="8" t="s">
        <v>908</v>
      </c>
      <c r="J43" s="8" t="s">
        <v>165</v>
      </c>
      <c r="K43" s="8" t="s">
        <v>165</v>
      </c>
      <c r="L43" s="8" t="s">
        <v>50</v>
      </c>
      <c r="M43" s="8">
        <v>751.89</v>
      </c>
      <c r="N43" s="8" t="s">
        <v>1258</v>
      </c>
      <c r="O43" s="11">
        <v>751.89</v>
      </c>
      <c r="P43" s="8" t="s">
        <v>245</v>
      </c>
      <c r="Q43" s="8" t="s">
        <v>13</v>
      </c>
      <c r="R43" s="8" t="s">
        <v>1589</v>
      </c>
      <c r="S43" s="12" t="s">
        <v>1461</v>
      </c>
      <c r="T43" s="8" t="s">
        <v>1461</v>
      </c>
      <c r="U43" s="8">
        <v>121.410402469554</v>
      </c>
      <c r="V43" s="8">
        <v>31.2188220265635</v>
      </c>
      <c r="W43" s="8" t="s">
        <v>32</v>
      </c>
      <c r="X43">
        <v>7.074</v>
      </c>
    </row>
    <row r="44" spans="1:24">
      <c r="A44" s="8">
        <v>5564</v>
      </c>
      <c r="B44" s="9">
        <v>45261</v>
      </c>
      <c r="C44" s="8" t="s">
        <v>281</v>
      </c>
      <c r="D44" s="8">
        <v>121.455928321736</v>
      </c>
      <c r="E44" s="8">
        <v>31.163149177406</v>
      </c>
      <c r="F44" s="8" t="s">
        <v>1272</v>
      </c>
      <c r="G44" s="8" t="s">
        <v>21</v>
      </c>
      <c r="H44" s="10">
        <v>7.37</v>
      </c>
      <c r="I44" s="8" t="s">
        <v>307</v>
      </c>
      <c r="J44" s="8" t="s">
        <v>171</v>
      </c>
      <c r="K44" s="8" t="s">
        <v>171</v>
      </c>
      <c r="L44" s="8" t="s">
        <v>50</v>
      </c>
      <c r="M44" s="8">
        <v>847.39</v>
      </c>
      <c r="N44" s="8" t="s">
        <v>1258</v>
      </c>
      <c r="O44" s="11">
        <v>847.39</v>
      </c>
      <c r="P44" s="8" t="s">
        <v>66</v>
      </c>
      <c r="Q44" s="8" t="s">
        <v>52</v>
      </c>
      <c r="R44" s="8" t="s">
        <v>1329</v>
      </c>
      <c r="S44" s="12" t="s">
        <v>1592</v>
      </c>
      <c r="T44" s="8" t="s">
        <v>459</v>
      </c>
      <c r="U44" s="8">
        <v>121.502221808899</v>
      </c>
      <c r="V44" s="8">
        <v>31.2432129736323</v>
      </c>
      <c r="W44" s="8" t="s">
        <v>32</v>
      </c>
      <c r="X44">
        <v>12.814</v>
      </c>
    </row>
    <row r="45" spans="1:24">
      <c r="A45" s="8">
        <v>5563</v>
      </c>
      <c r="B45" s="9">
        <v>45261</v>
      </c>
      <c r="C45" s="8" t="s">
        <v>281</v>
      </c>
      <c r="D45" s="8">
        <v>121.455928321736</v>
      </c>
      <c r="E45" s="8">
        <v>31.163149177406</v>
      </c>
      <c r="F45" s="8" t="s">
        <v>1272</v>
      </c>
      <c r="G45" s="8" t="s">
        <v>21</v>
      </c>
      <c r="H45" s="10">
        <v>7.05</v>
      </c>
      <c r="I45" s="8" t="s">
        <v>288</v>
      </c>
      <c r="J45" s="8" t="s">
        <v>171</v>
      </c>
      <c r="K45" s="8" t="s">
        <v>171</v>
      </c>
      <c r="L45" s="8" t="s">
        <v>50</v>
      </c>
      <c r="M45" s="8">
        <v>246.82</v>
      </c>
      <c r="N45" s="8" t="s">
        <v>1258</v>
      </c>
      <c r="O45" s="11">
        <v>246.82</v>
      </c>
      <c r="P45" s="8" t="s">
        <v>66</v>
      </c>
      <c r="Q45" s="8" t="s">
        <v>52</v>
      </c>
      <c r="R45" s="8" t="s">
        <v>1329</v>
      </c>
      <c r="S45" s="12" t="s">
        <v>1592</v>
      </c>
      <c r="T45" s="8" t="s">
        <v>459</v>
      </c>
      <c r="U45" s="8">
        <v>121.502221808899</v>
      </c>
      <c r="V45" s="8">
        <v>31.2432129736323</v>
      </c>
      <c r="W45" s="8" t="s">
        <v>32</v>
      </c>
      <c r="X45">
        <v>12.814</v>
      </c>
    </row>
    <row r="46" spans="1:24">
      <c r="A46" s="8">
        <v>5589</v>
      </c>
      <c r="B46" s="9">
        <v>45270</v>
      </c>
      <c r="C46" s="8" t="s">
        <v>466</v>
      </c>
      <c r="D46" s="8">
        <v>121.534892407912</v>
      </c>
      <c r="E46" s="8">
        <v>31.2234112502917</v>
      </c>
      <c r="F46" s="8" t="s">
        <v>1257</v>
      </c>
      <c r="G46" s="8" t="s">
        <v>32</v>
      </c>
      <c r="H46" s="13">
        <v>7.33333333333333</v>
      </c>
      <c r="I46" s="8" t="s">
        <v>729</v>
      </c>
      <c r="J46" s="8" t="s">
        <v>171</v>
      </c>
      <c r="K46" s="8" t="s">
        <v>171</v>
      </c>
      <c r="L46" s="8" t="s">
        <v>50</v>
      </c>
      <c r="M46" s="8">
        <v>2900</v>
      </c>
      <c r="N46" s="8" t="s">
        <v>1258</v>
      </c>
      <c r="O46" s="11">
        <v>2900</v>
      </c>
      <c r="P46" s="8" t="s">
        <v>43</v>
      </c>
      <c r="Q46" s="8" t="s">
        <v>13</v>
      </c>
      <c r="R46" s="8" t="s">
        <v>1593</v>
      </c>
      <c r="S46" s="12" t="s">
        <v>1594</v>
      </c>
      <c r="T46" s="8" t="s">
        <v>1595</v>
      </c>
      <c r="U46" s="8">
        <v>121.524127065783</v>
      </c>
      <c r="V46" s="8">
        <v>31.2292196100005</v>
      </c>
      <c r="W46" s="8" t="s">
        <v>32</v>
      </c>
      <c r="X46">
        <v>2</v>
      </c>
    </row>
    <row r="47" spans="1:24">
      <c r="A47" s="8">
        <v>5651</v>
      </c>
      <c r="B47" s="9">
        <v>45323.5699884259</v>
      </c>
      <c r="C47" s="8" t="s">
        <v>71</v>
      </c>
      <c r="D47" s="8">
        <v>121.455928321736</v>
      </c>
      <c r="E47" s="8">
        <v>31.163149177406</v>
      </c>
      <c r="F47" s="8" t="s">
        <v>1272</v>
      </c>
      <c r="G47" s="8" t="s">
        <v>21</v>
      </c>
      <c r="H47" s="10">
        <v>6.1</v>
      </c>
      <c r="I47" s="8" t="s">
        <v>1025</v>
      </c>
      <c r="J47" s="8" t="s">
        <v>171</v>
      </c>
      <c r="K47" s="8" t="s">
        <v>171</v>
      </c>
      <c r="L47" s="8" t="s">
        <v>50</v>
      </c>
      <c r="M47" s="8">
        <v>599.52</v>
      </c>
      <c r="N47" s="8"/>
      <c r="O47" s="11">
        <v>599.52</v>
      </c>
      <c r="P47" s="8" t="s">
        <v>66</v>
      </c>
      <c r="Q47" s="8" t="s">
        <v>52</v>
      </c>
      <c r="R47" s="8" t="s">
        <v>1596</v>
      </c>
      <c r="S47" s="12" t="s">
        <v>1597</v>
      </c>
      <c r="T47" s="8" t="s">
        <v>275</v>
      </c>
      <c r="U47" s="8">
        <v>121.442460042188</v>
      </c>
      <c r="V47" s="8">
        <v>31.2172469999016</v>
      </c>
      <c r="W47" s="8" t="s">
        <v>32</v>
      </c>
      <c r="X47">
        <v>7.217</v>
      </c>
    </row>
    <row r="48" spans="1:24">
      <c r="A48" s="8">
        <v>5708</v>
      </c>
      <c r="B48" s="9">
        <v>45352</v>
      </c>
      <c r="C48" s="8" t="s">
        <v>163</v>
      </c>
      <c r="D48" s="8">
        <v>121.501283410625</v>
      </c>
      <c r="E48" s="8">
        <v>31.2370729244893</v>
      </c>
      <c r="F48" s="8" t="s">
        <v>1275</v>
      </c>
      <c r="G48" s="8" t="s">
        <v>32</v>
      </c>
      <c r="H48" s="13">
        <v>9.16666666666667</v>
      </c>
      <c r="I48" s="8" t="s">
        <v>552</v>
      </c>
      <c r="J48" s="8" t="s">
        <v>165</v>
      </c>
      <c r="K48" s="8" t="s">
        <v>165</v>
      </c>
      <c r="L48" s="8" t="s">
        <v>50</v>
      </c>
      <c r="M48" s="8">
        <v>550</v>
      </c>
      <c r="N48" s="8" t="s">
        <v>1258</v>
      </c>
      <c r="O48" s="11">
        <v>550</v>
      </c>
      <c r="P48" s="8" t="s">
        <v>43</v>
      </c>
      <c r="Q48" s="8" t="s">
        <v>13</v>
      </c>
      <c r="R48" s="8" t="s">
        <v>1598</v>
      </c>
      <c r="S48" s="12" t="s">
        <v>1599</v>
      </c>
      <c r="T48" s="8" t="s">
        <v>1600</v>
      </c>
      <c r="U48" s="8">
        <v>121.452304261384</v>
      </c>
      <c r="V48" s="8">
        <v>31.2305159570075</v>
      </c>
      <c r="W48" s="8" t="s">
        <v>32</v>
      </c>
      <c r="X48">
        <v>6.42</v>
      </c>
    </row>
    <row r="49" spans="1:26">
      <c r="A49" s="8">
        <v>5736</v>
      </c>
      <c r="B49" s="9">
        <v>45352.5699884259</v>
      </c>
      <c r="C49" s="8" t="s">
        <v>466</v>
      </c>
      <c r="D49" s="8">
        <v>121.534892407912</v>
      </c>
      <c r="E49" s="8">
        <v>31.2234112502917</v>
      </c>
      <c r="F49" s="8" t="s">
        <v>1257</v>
      </c>
      <c r="G49" s="8" t="s">
        <v>32</v>
      </c>
      <c r="H49" s="10">
        <v>5.6</v>
      </c>
      <c r="I49" s="8" t="s">
        <v>922</v>
      </c>
      <c r="J49" s="8" t="s">
        <v>165</v>
      </c>
      <c r="K49" s="8" t="s">
        <v>165</v>
      </c>
      <c r="L49" s="8" t="s">
        <v>50</v>
      </c>
      <c r="M49" s="8">
        <v>751.89</v>
      </c>
      <c r="N49" s="8"/>
      <c r="O49" s="11">
        <v>751.89</v>
      </c>
      <c r="P49" s="8" t="s">
        <v>66</v>
      </c>
      <c r="Q49" s="8" t="s">
        <v>13</v>
      </c>
      <c r="R49" s="8" t="s">
        <v>191</v>
      </c>
      <c r="S49" s="12" t="s">
        <v>1461</v>
      </c>
      <c r="T49" s="8" t="s">
        <v>1601</v>
      </c>
      <c r="U49" s="8">
        <v>121.409976277298</v>
      </c>
      <c r="V49" s="8">
        <v>31.2184315878243</v>
      </c>
      <c r="W49" s="8" t="s">
        <v>32</v>
      </c>
      <c r="X49">
        <v>13.975</v>
      </c>
    </row>
    <row r="50" spans="1:26">
      <c r="A50" s="8">
        <v>4003</v>
      </c>
      <c r="B50" s="9">
        <v>44575</v>
      </c>
      <c r="C50" s="8" t="s">
        <v>537</v>
      </c>
      <c r="D50" s="8">
        <v>121.472650053813</v>
      </c>
      <c r="E50" s="8">
        <v>31.2122118169666</v>
      </c>
      <c r="F50" s="8" t="s">
        <v>1334</v>
      </c>
      <c r="G50" s="8" t="s">
        <v>32</v>
      </c>
      <c r="H50" s="10">
        <v>9.2</v>
      </c>
      <c r="I50" s="8" t="s">
        <v>549</v>
      </c>
      <c r="J50" s="8" t="s">
        <v>171</v>
      </c>
      <c r="K50" s="8" t="s">
        <v>171</v>
      </c>
      <c r="L50" s="8" t="s">
        <v>50</v>
      </c>
      <c r="M50" s="8">
        <v>8000</v>
      </c>
      <c r="N50" s="8" t="s">
        <v>1258</v>
      </c>
      <c r="O50" s="11">
        <v>8000</v>
      </c>
      <c r="P50" s="8" t="s">
        <v>43</v>
      </c>
      <c r="Q50" s="8" t="s">
        <v>13</v>
      </c>
      <c r="R50" s="8" t="s">
        <v>1602</v>
      </c>
      <c r="S50" s="8" t="s">
        <v>1599</v>
      </c>
      <c r="T50" s="8" t="s">
        <v>1599</v>
      </c>
      <c r="U50" s="8">
        <v>121.452284450446</v>
      </c>
      <c r="V50" s="8">
        <v>31.230965551168</v>
      </c>
      <c r="W50" s="8"/>
      <c r="X50" s="15">
        <v>4.22</v>
      </c>
      <c r="Z50" s="15"/>
    </row>
    <row r="51" spans="1:26">
      <c r="A51" s="8">
        <v>4013</v>
      </c>
      <c r="B51" s="9">
        <v>44585</v>
      </c>
      <c r="C51" s="8" t="s">
        <v>344</v>
      </c>
      <c r="D51" s="8">
        <v>121.50570658393</v>
      </c>
      <c r="E51" s="8">
        <v>31.2432277512031</v>
      </c>
      <c r="F51" s="8" t="s">
        <v>1275</v>
      </c>
      <c r="G51" s="8" t="s">
        <v>32</v>
      </c>
      <c r="H51" s="10">
        <v>12.0888888888889</v>
      </c>
      <c r="I51" s="8" t="s">
        <v>762</v>
      </c>
      <c r="J51" s="8" t="s">
        <v>171</v>
      </c>
      <c r="K51" s="8" t="s">
        <v>171</v>
      </c>
      <c r="L51" s="8" t="s">
        <v>50</v>
      </c>
      <c r="M51" s="8">
        <v>540</v>
      </c>
      <c r="N51" s="8" t="s">
        <v>1258</v>
      </c>
      <c r="O51" s="11">
        <v>540</v>
      </c>
      <c r="P51" s="8" t="s">
        <v>66</v>
      </c>
      <c r="Q51" s="8" t="s">
        <v>13</v>
      </c>
      <c r="R51" s="8" t="s">
        <v>1603</v>
      </c>
      <c r="S51" s="8" t="s">
        <v>1604</v>
      </c>
      <c r="T51" s="8" t="s">
        <v>1604</v>
      </c>
      <c r="U51" s="8">
        <v>121.224348597361</v>
      </c>
      <c r="V51" s="8">
        <v>31.2281964207095</v>
      </c>
      <c r="W51" s="8"/>
      <c r="X51" s="15">
        <v>31.195</v>
      </c>
      <c r="Z51" s="15"/>
    </row>
    <row r="52" spans="1:26">
      <c r="A52" s="8">
        <v>4019</v>
      </c>
      <c r="B52" s="9">
        <v>44593</v>
      </c>
      <c r="C52" s="8" t="s">
        <v>599</v>
      </c>
      <c r="D52" s="8">
        <v>121.449553479452</v>
      </c>
      <c r="E52" s="8">
        <v>31.2285010794079</v>
      </c>
      <c r="F52" s="8" t="s">
        <v>1293</v>
      </c>
      <c r="G52" s="8" t="s">
        <v>32</v>
      </c>
      <c r="H52" s="13">
        <v>11</v>
      </c>
      <c r="I52" s="8" t="s">
        <v>861</v>
      </c>
      <c r="J52" s="8" t="s">
        <v>49</v>
      </c>
      <c r="K52" s="8" t="s">
        <v>49</v>
      </c>
      <c r="L52" s="8" t="s">
        <v>50</v>
      </c>
      <c r="M52" s="8">
        <v>4000</v>
      </c>
      <c r="N52" s="8" t="s">
        <v>1258</v>
      </c>
      <c r="O52" s="11">
        <v>4000</v>
      </c>
      <c r="P52" s="8" t="s">
        <v>43</v>
      </c>
      <c r="Q52" s="8" t="s">
        <v>52</v>
      </c>
      <c r="R52" s="8" t="s">
        <v>1605</v>
      </c>
      <c r="S52" s="8" t="s">
        <v>1078</v>
      </c>
      <c r="T52" s="8" t="s">
        <v>1078</v>
      </c>
      <c r="U52" s="8">
        <v>121.442901331613</v>
      </c>
      <c r="V52" s="8">
        <v>31.2251414936015</v>
      </c>
      <c r="W52" s="8"/>
      <c r="X52" s="15">
        <v>0.985</v>
      </c>
      <c r="Z52" s="15"/>
    </row>
    <row r="53" spans="1:26">
      <c r="A53" s="8">
        <v>4030</v>
      </c>
      <c r="B53" s="9">
        <v>44593</v>
      </c>
      <c r="C53" s="8" t="s">
        <v>599</v>
      </c>
      <c r="D53" s="8">
        <v>121.449553479452</v>
      </c>
      <c r="E53" s="8">
        <v>31.2285010794079</v>
      </c>
      <c r="F53" s="8" t="s">
        <v>1293</v>
      </c>
      <c r="G53" s="8" t="s">
        <v>32</v>
      </c>
      <c r="H53" s="13">
        <v>11.4583333333333</v>
      </c>
      <c r="I53" s="8" t="s">
        <v>643</v>
      </c>
      <c r="J53" s="8" t="s">
        <v>171</v>
      </c>
      <c r="K53" s="8" t="s">
        <v>171</v>
      </c>
      <c r="L53" s="8" t="s">
        <v>50</v>
      </c>
      <c r="M53" s="8">
        <v>1000</v>
      </c>
      <c r="N53" s="8" t="s">
        <v>1258</v>
      </c>
      <c r="O53" s="11">
        <v>1000</v>
      </c>
      <c r="P53" s="8" t="s">
        <v>66</v>
      </c>
      <c r="Q53" s="8" t="s">
        <v>13</v>
      </c>
      <c r="R53" s="8" t="s">
        <v>1606</v>
      </c>
      <c r="S53" s="8" t="s">
        <v>341</v>
      </c>
      <c r="T53" s="8" t="s">
        <v>341</v>
      </c>
      <c r="U53" s="8">
        <v>121.451096329227</v>
      </c>
      <c r="V53" s="8">
        <v>31.2301832448003</v>
      </c>
      <c r="W53" s="8"/>
      <c r="X53" s="15">
        <v>0.89</v>
      </c>
      <c r="Z53" s="15"/>
    </row>
    <row r="54" spans="1:26">
      <c r="A54" s="8">
        <v>4026</v>
      </c>
      <c r="B54" s="9">
        <v>44593</v>
      </c>
      <c r="C54" s="8" t="s">
        <v>599</v>
      </c>
      <c r="D54" s="8">
        <v>121.449553479452</v>
      </c>
      <c r="E54" s="8">
        <v>31.2285010794079</v>
      </c>
      <c r="F54" s="8" t="s">
        <v>1293</v>
      </c>
      <c r="G54" s="8" t="s">
        <v>32</v>
      </c>
      <c r="H54" s="13">
        <v>12.65</v>
      </c>
      <c r="I54" s="8" t="s">
        <v>600</v>
      </c>
      <c r="J54" s="8" t="s">
        <v>601</v>
      </c>
      <c r="K54" s="8" t="s">
        <v>601</v>
      </c>
      <c r="L54" s="8" t="s">
        <v>50</v>
      </c>
      <c r="M54" s="8">
        <v>430</v>
      </c>
      <c r="N54" s="8" t="s">
        <v>1258</v>
      </c>
      <c r="O54" s="11">
        <v>430</v>
      </c>
      <c r="P54" s="8" t="s">
        <v>240</v>
      </c>
      <c r="Q54" s="8" t="s">
        <v>13</v>
      </c>
      <c r="R54" s="8" t="s">
        <v>1607</v>
      </c>
      <c r="S54" s="8" t="s">
        <v>1600</v>
      </c>
      <c r="T54" s="8" t="s">
        <v>1600</v>
      </c>
      <c r="U54" s="8">
        <v>121.452239330175</v>
      </c>
      <c r="V54" s="8">
        <v>31.2309444587453</v>
      </c>
      <c r="W54" s="8"/>
      <c r="X54" s="15">
        <v>0.755</v>
      </c>
      <c r="Z54" s="15"/>
    </row>
    <row r="55" spans="1:26">
      <c r="A55" s="8">
        <v>4040</v>
      </c>
      <c r="B55" s="9">
        <v>44605</v>
      </c>
      <c r="C55" s="8" t="s">
        <v>993</v>
      </c>
      <c r="D55" s="8">
        <v>121.433288107681</v>
      </c>
      <c r="E55" s="8">
        <v>31.1994591088409</v>
      </c>
      <c r="F55" s="8" t="s">
        <v>1436</v>
      </c>
      <c r="G55" s="8" t="s">
        <v>32</v>
      </c>
      <c r="H55" s="13">
        <v>8.98333333333333</v>
      </c>
      <c r="I55" s="8" t="s">
        <v>1238</v>
      </c>
      <c r="J55" s="8" t="s">
        <v>165</v>
      </c>
      <c r="K55" s="8" t="s">
        <v>165</v>
      </c>
      <c r="L55" s="8" t="s">
        <v>50</v>
      </c>
      <c r="M55" s="8">
        <v>1200</v>
      </c>
      <c r="N55" s="8" t="s">
        <v>1258</v>
      </c>
      <c r="O55" s="11">
        <v>1200</v>
      </c>
      <c r="P55" s="8" t="s">
        <v>51</v>
      </c>
      <c r="Q55" s="8" t="s">
        <v>13</v>
      </c>
      <c r="R55" s="8" t="s">
        <v>1608</v>
      </c>
      <c r="S55" s="8" t="s">
        <v>1609</v>
      </c>
      <c r="T55" s="8" t="s">
        <v>1609</v>
      </c>
      <c r="U55" s="8">
        <v>121.384098033801</v>
      </c>
      <c r="V55" s="8">
        <v>31.1060787697197</v>
      </c>
      <c r="W55" s="8"/>
      <c r="X55" s="15">
        <v>12.78</v>
      </c>
      <c r="Z55" s="15"/>
    </row>
    <row r="56" spans="1:26">
      <c r="A56" s="8">
        <v>4098</v>
      </c>
      <c r="B56" s="9">
        <v>44624</v>
      </c>
      <c r="C56" s="8" t="s">
        <v>139</v>
      </c>
      <c r="D56" s="8">
        <v>121.501246423391</v>
      </c>
      <c r="E56" s="8">
        <v>31.2355807061026</v>
      </c>
      <c r="F56" s="8" t="s">
        <v>1275</v>
      </c>
      <c r="G56" s="8" t="s">
        <v>32</v>
      </c>
      <c r="H56" s="13">
        <v>13.2916666666667</v>
      </c>
      <c r="I56" s="8" t="s">
        <v>841</v>
      </c>
      <c r="J56" s="8" t="s">
        <v>171</v>
      </c>
      <c r="K56" s="8" t="s">
        <v>171</v>
      </c>
      <c r="L56" s="8" t="s">
        <v>50</v>
      </c>
      <c r="M56" s="8">
        <v>2000</v>
      </c>
      <c r="N56" s="8" t="s">
        <v>1258</v>
      </c>
      <c r="O56" s="11">
        <v>2000</v>
      </c>
      <c r="P56" s="8" t="s">
        <v>26</v>
      </c>
      <c r="Q56" s="8" t="s">
        <v>52</v>
      </c>
      <c r="R56" s="8" t="s">
        <v>1610</v>
      </c>
      <c r="S56" s="8" t="s">
        <v>1611</v>
      </c>
      <c r="T56" s="8" t="s">
        <v>1611</v>
      </c>
      <c r="U56" s="8">
        <v>121.444697516466</v>
      </c>
      <c r="V56" s="8">
        <v>31.2257367601453</v>
      </c>
      <c r="W56" s="8"/>
      <c r="X56" s="15">
        <v>6.96</v>
      </c>
      <c r="Z56" s="15"/>
    </row>
    <row r="57" spans="1:26">
      <c r="A57" s="8">
        <v>4105</v>
      </c>
      <c r="B57" s="9">
        <v>44638</v>
      </c>
      <c r="C57" s="8" t="s">
        <v>472</v>
      </c>
      <c r="D57" s="8">
        <v>121.433861756282</v>
      </c>
      <c r="E57" s="8">
        <v>31.2421296864194</v>
      </c>
      <c r="F57" s="8" t="s">
        <v>1543</v>
      </c>
      <c r="G57" s="8" t="s">
        <v>21</v>
      </c>
      <c r="H57" s="13">
        <v>8.525</v>
      </c>
      <c r="I57" s="8" t="s">
        <v>1032</v>
      </c>
      <c r="J57" s="8" t="s">
        <v>171</v>
      </c>
      <c r="K57" s="8" t="s">
        <v>171</v>
      </c>
      <c r="L57" s="8" t="s">
        <v>50</v>
      </c>
      <c r="M57" s="8">
        <v>200</v>
      </c>
      <c r="N57" s="8" t="s">
        <v>1258</v>
      </c>
      <c r="O57" s="11">
        <v>200</v>
      </c>
      <c r="P57" s="8" t="s">
        <v>51</v>
      </c>
      <c r="Q57" s="8" t="s">
        <v>13</v>
      </c>
      <c r="R57" s="8" t="s">
        <v>1612</v>
      </c>
      <c r="S57" s="8" t="s">
        <v>1613</v>
      </c>
      <c r="T57" s="8" t="s">
        <v>1613</v>
      </c>
      <c r="U57" s="8">
        <v>121.476917216258</v>
      </c>
      <c r="V57" s="8">
        <v>31.2154897747697</v>
      </c>
      <c r="W57" s="8"/>
      <c r="X57" s="15">
        <v>6.565</v>
      </c>
      <c r="Z57" s="15"/>
    </row>
    <row r="58" spans="1:26">
      <c r="A58" s="8">
        <v>4130</v>
      </c>
      <c r="B58" s="9">
        <v>44712</v>
      </c>
      <c r="C58" s="8" t="s">
        <v>483</v>
      </c>
      <c r="D58" s="8">
        <v>121.456371440004</v>
      </c>
      <c r="E58" s="8">
        <v>31.1848132594499</v>
      </c>
      <c r="F58" s="8" t="s">
        <v>1272</v>
      </c>
      <c r="G58" s="8" t="s">
        <v>21</v>
      </c>
      <c r="H58" s="13">
        <v>4.58333333333333</v>
      </c>
      <c r="I58" s="8" t="s">
        <v>484</v>
      </c>
      <c r="J58" s="8" t="s">
        <v>49</v>
      </c>
      <c r="K58" s="8" t="s">
        <v>49</v>
      </c>
      <c r="L58" s="8" t="s">
        <v>50</v>
      </c>
      <c r="M58" s="8">
        <v>3800</v>
      </c>
      <c r="N58" s="8" t="s">
        <v>1258</v>
      </c>
      <c r="O58" s="11">
        <v>3800</v>
      </c>
      <c r="P58" s="8" t="s">
        <v>51</v>
      </c>
      <c r="Q58" s="8" t="s">
        <v>13</v>
      </c>
      <c r="R58" s="8" t="s">
        <v>1614</v>
      </c>
      <c r="S58" s="8" t="s">
        <v>1615</v>
      </c>
      <c r="T58" s="8" t="s">
        <v>1615</v>
      </c>
      <c r="U58" s="8">
        <v>121.510500337493</v>
      </c>
      <c r="V58" s="8">
        <v>31.2344435422548</v>
      </c>
      <c r="W58" s="8"/>
      <c r="X58" s="15">
        <v>10.065</v>
      </c>
      <c r="Z58" s="15"/>
    </row>
    <row r="59" spans="1:26">
      <c r="A59" s="8">
        <v>4135</v>
      </c>
      <c r="B59" s="9">
        <v>44713</v>
      </c>
      <c r="C59" s="8" t="s">
        <v>472</v>
      </c>
      <c r="D59" s="8">
        <v>121.433861756282</v>
      </c>
      <c r="E59" s="8">
        <v>31.2421296864194</v>
      </c>
      <c r="F59" s="8" t="s">
        <v>1543</v>
      </c>
      <c r="G59" s="8" t="s">
        <v>21</v>
      </c>
      <c r="H59" s="13">
        <v>7.60833333333333</v>
      </c>
      <c r="I59" s="8" t="s">
        <v>473</v>
      </c>
      <c r="J59" s="8" t="s">
        <v>474</v>
      </c>
      <c r="K59" s="8" t="s">
        <v>474</v>
      </c>
      <c r="L59" s="8" t="s">
        <v>50</v>
      </c>
      <c r="M59" s="8">
        <v>680</v>
      </c>
      <c r="N59" s="8" t="s">
        <v>1258</v>
      </c>
      <c r="O59" s="11">
        <v>680</v>
      </c>
      <c r="P59" s="8" t="s">
        <v>51</v>
      </c>
      <c r="Q59" s="8" t="s">
        <v>13</v>
      </c>
      <c r="R59" s="8" t="s">
        <v>1616</v>
      </c>
      <c r="S59" s="8" t="s">
        <v>1617</v>
      </c>
      <c r="T59" s="8" t="s">
        <v>1617</v>
      </c>
      <c r="U59" s="8">
        <v>121.446789711793</v>
      </c>
      <c r="V59" s="8">
        <v>31.2363161353898</v>
      </c>
      <c r="W59" s="8"/>
      <c r="X59" s="15">
        <v>1.85</v>
      </c>
      <c r="Z59" s="15"/>
    </row>
    <row r="60" spans="1:26">
      <c r="A60" s="8">
        <v>4167</v>
      </c>
      <c r="B60" s="9">
        <v>44728</v>
      </c>
      <c r="C60" s="8" t="s">
        <v>459</v>
      </c>
      <c r="D60" s="8">
        <v>121.5021278</v>
      </c>
      <c r="E60" s="8">
        <v>31.24321741</v>
      </c>
      <c r="F60" s="8" t="s">
        <v>1275</v>
      </c>
      <c r="G60" s="8" t="s">
        <v>32</v>
      </c>
      <c r="H60" s="13">
        <v>6.41666666666667</v>
      </c>
      <c r="I60" s="8" t="s">
        <v>460</v>
      </c>
      <c r="J60" s="8" t="s">
        <v>165</v>
      </c>
      <c r="K60" s="8" t="s">
        <v>165</v>
      </c>
      <c r="L60" s="8" t="s">
        <v>50</v>
      </c>
      <c r="M60" s="8">
        <v>2000</v>
      </c>
      <c r="N60" s="8" t="s">
        <v>1258</v>
      </c>
      <c r="O60" s="11">
        <v>2000</v>
      </c>
      <c r="P60" s="8" t="s">
        <v>66</v>
      </c>
      <c r="Q60" s="8" t="s">
        <v>13</v>
      </c>
      <c r="R60" s="8" t="s">
        <v>1618</v>
      </c>
      <c r="S60" s="8" t="s">
        <v>1619</v>
      </c>
      <c r="T60" s="8" t="s">
        <v>1619</v>
      </c>
      <c r="U60" s="8">
        <v>121.507351609039</v>
      </c>
      <c r="V60" s="8">
        <v>31.237282720718</v>
      </c>
      <c r="W60" s="8"/>
      <c r="X60" s="15">
        <v>1.505</v>
      </c>
      <c r="Z60" s="15"/>
    </row>
    <row r="61" spans="1:26">
      <c r="A61" s="8">
        <v>4198</v>
      </c>
      <c r="B61" s="9">
        <v>44742</v>
      </c>
      <c r="C61" s="8" t="s">
        <v>387</v>
      </c>
      <c r="D61" s="8">
        <v>121.4515617</v>
      </c>
      <c r="E61" s="8">
        <v>31.24548309</v>
      </c>
      <c r="F61" s="8" t="s">
        <v>1467</v>
      </c>
      <c r="G61" s="8" t="s">
        <v>21</v>
      </c>
      <c r="H61" s="13">
        <v>6.41666666666667</v>
      </c>
      <c r="I61" s="8" t="s">
        <v>1116</v>
      </c>
      <c r="J61" s="8" t="s">
        <v>601</v>
      </c>
      <c r="K61" s="8" t="s">
        <v>601</v>
      </c>
      <c r="L61" s="8" t="s">
        <v>50</v>
      </c>
      <c r="M61" s="8">
        <v>2300</v>
      </c>
      <c r="N61" s="8" t="s">
        <v>1258</v>
      </c>
      <c r="O61" s="11">
        <v>2300</v>
      </c>
      <c r="P61" s="8" t="s">
        <v>43</v>
      </c>
      <c r="Q61" s="8" t="s">
        <v>52</v>
      </c>
      <c r="R61" s="8" t="s">
        <v>1620</v>
      </c>
      <c r="S61" s="8" t="s">
        <v>1621</v>
      </c>
      <c r="T61" s="8" t="s">
        <v>1621</v>
      </c>
      <c r="U61" s="8">
        <v>121.432593372747</v>
      </c>
      <c r="V61" s="8">
        <v>31.1957501295047</v>
      </c>
      <c r="W61" s="8"/>
      <c r="X61" s="15">
        <v>7.485</v>
      </c>
      <c r="Z61" s="15"/>
    </row>
    <row r="62" spans="1:26">
      <c r="A62" s="8">
        <v>4234</v>
      </c>
      <c r="B62" s="9">
        <v>44743</v>
      </c>
      <c r="C62" s="8" t="s">
        <v>139</v>
      </c>
      <c r="D62" s="8">
        <v>121.501246423391</v>
      </c>
      <c r="E62" s="8">
        <v>31.2355807061026</v>
      </c>
      <c r="F62" s="8" t="s">
        <v>1275</v>
      </c>
      <c r="G62" s="8" t="s">
        <v>32</v>
      </c>
      <c r="H62" s="10">
        <v>10.7525</v>
      </c>
      <c r="I62" s="8" t="s">
        <v>1100</v>
      </c>
      <c r="J62" s="8" t="s">
        <v>165</v>
      </c>
      <c r="K62" s="8" t="s">
        <v>165</v>
      </c>
      <c r="L62" s="8" t="s">
        <v>50</v>
      </c>
      <c r="M62" s="8">
        <v>2690.79</v>
      </c>
      <c r="N62" s="8">
        <v>0</v>
      </c>
      <c r="O62" s="11">
        <v>2690.79</v>
      </c>
      <c r="P62" s="8" t="s">
        <v>245</v>
      </c>
      <c r="Q62" s="8" t="s">
        <v>13</v>
      </c>
      <c r="R62" s="8" t="s">
        <v>1622</v>
      </c>
      <c r="S62" s="8" t="s">
        <v>1387</v>
      </c>
      <c r="T62" s="8" t="s">
        <v>1387</v>
      </c>
      <c r="U62" s="8">
        <v>121.400626065507</v>
      </c>
      <c r="V62" s="8">
        <v>31.2066254795464</v>
      </c>
      <c r="W62" s="8"/>
      <c r="X62" s="15">
        <v>11.625</v>
      </c>
      <c r="Z62" s="15"/>
    </row>
    <row r="63" spans="1:26">
      <c r="A63" s="8">
        <v>4213</v>
      </c>
      <c r="B63" s="9">
        <v>44743</v>
      </c>
      <c r="C63" s="8" t="s">
        <v>543</v>
      </c>
      <c r="D63" s="8">
        <v>121.504245</v>
      </c>
      <c r="E63" s="8">
        <v>31.240828</v>
      </c>
      <c r="F63" s="8" t="s">
        <v>1275</v>
      </c>
      <c r="G63" s="8" t="s">
        <v>32</v>
      </c>
      <c r="H63" s="10">
        <v>8.32291666666667</v>
      </c>
      <c r="I63" s="8" t="s">
        <v>856</v>
      </c>
      <c r="J63" s="8" t="s">
        <v>165</v>
      </c>
      <c r="K63" s="8" t="s">
        <v>165</v>
      </c>
      <c r="L63" s="8" t="s">
        <v>50</v>
      </c>
      <c r="M63" s="8">
        <v>2550.91</v>
      </c>
      <c r="N63" s="8">
        <v>0</v>
      </c>
      <c r="O63" s="11">
        <v>2550.91</v>
      </c>
      <c r="P63" s="8" t="s">
        <v>43</v>
      </c>
      <c r="Q63" s="8" t="s">
        <v>52</v>
      </c>
      <c r="R63" s="8" t="s">
        <v>1623</v>
      </c>
      <c r="S63" s="8" t="s">
        <v>1624</v>
      </c>
      <c r="T63" s="8" t="s">
        <v>1624</v>
      </c>
      <c r="U63" s="8">
        <v>121.443391487514</v>
      </c>
      <c r="V63" s="8">
        <v>31.2249815243135</v>
      </c>
      <c r="W63" s="8"/>
      <c r="X63" s="15">
        <v>7.43</v>
      </c>
      <c r="Z63" s="15"/>
    </row>
    <row r="64" spans="1:26">
      <c r="A64" s="8">
        <v>4237</v>
      </c>
      <c r="B64" s="9">
        <v>44743</v>
      </c>
      <c r="C64" s="8" t="s">
        <v>284</v>
      </c>
      <c r="D64" s="8">
        <v>121.52347150619</v>
      </c>
      <c r="E64" s="8">
        <v>31.2292266265612</v>
      </c>
      <c r="F64" s="8" t="s">
        <v>1257</v>
      </c>
      <c r="G64" s="8" t="s">
        <v>32</v>
      </c>
      <c r="H64" s="10">
        <v>9.91666666666667</v>
      </c>
      <c r="I64" s="8" t="s">
        <v>730</v>
      </c>
      <c r="J64" s="8" t="s">
        <v>171</v>
      </c>
      <c r="K64" s="8" t="s">
        <v>171</v>
      </c>
      <c r="L64" s="8" t="s">
        <v>50</v>
      </c>
      <c r="M64" s="8">
        <v>459.91</v>
      </c>
      <c r="N64" s="8">
        <v>0</v>
      </c>
      <c r="O64" s="11">
        <v>459.91</v>
      </c>
      <c r="P64" s="8" t="s">
        <v>245</v>
      </c>
      <c r="Q64" s="8" t="s">
        <v>13</v>
      </c>
      <c r="R64" s="8" t="s">
        <v>1625</v>
      </c>
      <c r="S64" s="8" t="s">
        <v>1354</v>
      </c>
      <c r="T64" s="8" t="s">
        <v>1354</v>
      </c>
      <c r="U64" s="8">
        <v>121.512929910588</v>
      </c>
      <c r="V64" s="8">
        <v>31.2290537513594</v>
      </c>
      <c r="W64" s="8"/>
      <c r="X64" s="15">
        <v>1.78</v>
      </c>
      <c r="Z64" s="15"/>
    </row>
    <row r="65" spans="1:26">
      <c r="A65" s="8">
        <v>4308</v>
      </c>
      <c r="B65" s="9">
        <v>44774</v>
      </c>
      <c r="C65" s="8" t="s">
        <v>1106</v>
      </c>
      <c r="D65" s="8">
        <v>121.4849071</v>
      </c>
      <c r="E65" s="8">
        <v>31.26060413</v>
      </c>
      <c r="F65" s="8" t="s">
        <v>1286</v>
      </c>
      <c r="G65" s="8" t="s">
        <v>21</v>
      </c>
      <c r="H65" s="13">
        <v>5.13333333333333</v>
      </c>
      <c r="I65" s="8" t="s">
        <v>1235</v>
      </c>
      <c r="J65" s="8" t="s">
        <v>477</v>
      </c>
      <c r="K65" s="8" t="s">
        <v>477</v>
      </c>
      <c r="L65" s="8" t="s">
        <v>50</v>
      </c>
      <c r="M65" s="8">
        <v>2829</v>
      </c>
      <c r="N65" s="8" t="s">
        <v>1258</v>
      </c>
      <c r="O65" s="11">
        <v>2829</v>
      </c>
      <c r="P65" s="8" t="s">
        <v>43</v>
      </c>
      <c r="Q65" s="8" t="s">
        <v>13</v>
      </c>
      <c r="R65" s="8" t="s">
        <v>1626</v>
      </c>
      <c r="S65" s="8" t="s">
        <v>1627</v>
      </c>
      <c r="T65" s="8" t="s">
        <v>1627</v>
      </c>
      <c r="U65" s="8">
        <v>121.421160010931</v>
      </c>
      <c r="V65" s="8">
        <v>31.1688004650708</v>
      </c>
      <c r="W65" s="8"/>
      <c r="X65" s="15">
        <v>14.55</v>
      </c>
      <c r="Z65" s="15"/>
    </row>
    <row r="66" spans="1:26">
      <c r="A66" s="8">
        <v>4320</v>
      </c>
      <c r="B66" s="9">
        <v>44774</v>
      </c>
      <c r="C66" s="8" t="s">
        <v>903</v>
      </c>
      <c r="D66" s="8">
        <v>121.417465034612</v>
      </c>
      <c r="E66" s="8">
        <v>31.1997373474495</v>
      </c>
      <c r="F66" s="8" t="s">
        <v>1286</v>
      </c>
      <c r="G66" s="8" t="s">
        <v>32</v>
      </c>
      <c r="H66" s="10">
        <v>7.55555555555556</v>
      </c>
      <c r="I66" s="8" t="s">
        <v>904</v>
      </c>
      <c r="J66" s="8" t="s">
        <v>171</v>
      </c>
      <c r="K66" s="8" t="s">
        <v>171</v>
      </c>
      <c r="L66" s="8" t="s">
        <v>50</v>
      </c>
      <c r="M66" s="8">
        <v>388</v>
      </c>
      <c r="N66" s="8" t="s">
        <v>1258</v>
      </c>
      <c r="O66" s="11">
        <v>388</v>
      </c>
      <c r="P66" s="8" t="s">
        <v>51</v>
      </c>
      <c r="Q66" s="8" t="s">
        <v>13</v>
      </c>
      <c r="R66" s="8" t="s">
        <v>1628</v>
      </c>
      <c r="S66" s="8" t="s">
        <v>1629</v>
      </c>
      <c r="T66" s="8" t="s">
        <v>1629</v>
      </c>
      <c r="U66" s="8">
        <v>121.372877600727</v>
      </c>
      <c r="V66" s="8">
        <v>31.2185374549109</v>
      </c>
      <c r="W66" s="8"/>
      <c r="X66" s="15">
        <v>5.46</v>
      </c>
      <c r="Z66" s="15"/>
    </row>
    <row r="67" spans="1:26">
      <c r="A67" s="8">
        <v>4341</v>
      </c>
      <c r="B67" s="9">
        <v>44795</v>
      </c>
      <c r="C67" s="8" t="s">
        <v>1630</v>
      </c>
      <c r="D67" s="8">
        <v>121.476238880865</v>
      </c>
      <c r="E67" s="8">
        <v>31.1983117655287</v>
      </c>
      <c r="F67" s="8" t="s">
        <v>1263</v>
      </c>
      <c r="G67" s="8" t="s">
        <v>21</v>
      </c>
      <c r="H67" s="13">
        <v>8.70833333333333</v>
      </c>
      <c r="I67" s="8" t="s">
        <v>1067</v>
      </c>
      <c r="J67" s="8" t="s">
        <v>171</v>
      </c>
      <c r="K67" s="8" t="s">
        <v>171</v>
      </c>
      <c r="L67" s="8" t="s">
        <v>50</v>
      </c>
      <c r="M67" s="8">
        <v>570</v>
      </c>
      <c r="N67" s="8" t="s">
        <v>1258</v>
      </c>
      <c r="O67" s="11">
        <v>570</v>
      </c>
      <c r="P67" s="8" t="s">
        <v>66</v>
      </c>
      <c r="Q67" s="8" t="s">
        <v>13</v>
      </c>
      <c r="R67" s="8" t="s">
        <v>1631</v>
      </c>
      <c r="S67" s="8" t="s">
        <v>830</v>
      </c>
      <c r="T67" s="8" t="s">
        <v>830</v>
      </c>
      <c r="U67" s="8">
        <v>121.464279442228</v>
      </c>
      <c r="V67" s="8">
        <v>31.2079747466097</v>
      </c>
      <c r="W67" s="8"/>
      <c r="X67" s="15">
        <v>2.46</v>
      </c>
      <c r="Z67" s="15"/>
    </row>
    <row r="68" spans="1:26">
      <c r="A68" s="8">
        <v>4350</v>
      </c>
      <c r="B68" s="9">
        <v>44805</v>
      </c>
      <c r="C68" s="8" t="s">
        <v>625</v>
      </c>
      <c r="D68" s="8">
        <v>121.462346763421</v>
      </c>
      <c r="E68" s="8">
        <v>31.2435680087392</v>
      </c>
      <c r="F68" s="8" t="s">
        <v>1529</v>
      </c>
      <c r="G68" s="8" t="s">
        <v>21</v>
      </c>
      <c r="H68" s="13">
        <v>6.41666666666667</v>
      </c>
      <c r="I68" s="8" t="s">
        <v>626</v>
      </c>
      <c r="J68" s="8" t="s">
        <v>627</v>
      </c>
      <c r="K68" s="8" t="s">
        <v>627</v>
      </c>
      <c r="L68" s="8" t="s">
        <v>50</v>
      </c>
      <c r="M68" s="8">
        <v>2500</v>
      </c>
      <c r="N68" s="8" t="s">
        <v>1258</v>
      </c>
      <c r="O68" s="11">
        <v>2500</v>
      </c>
      <c r="P68" s="8" t="s">
        <v>43</v>
      </c>
      <c r="Q68" s="8" t="s">
        <v>52</v>
      </c>
      <c r="R68" s="8" t="s">
        <v>1632</v>
      </c>
      <c r="S68" s="8" t="s">
        <v>341</v>
      </c>
      <c r="T68" s="8" t="s">
        <v>341</v>
      </c>
      <c r="U68" s="8">
        <v>121.451096329227</v>
      </c>
      <c r="V68" s="8">
        <v>31.2301832448003</v>
      </c>
      <c r="W68" s="8"/>
      <c r="X68" s="15">
        <v>3.555</v>
      </c>
      <c r="Z68" s="15"/>
    </row>
    <row r="69" spans="1:26">
      <c r="A69" s="8">
        <v>4419</v>
      </c>
      <c r="B69" s="9">
        <v>44827</v>
      </c>
      <c r="C69" s="8" t="s">
        <v>344</v>
      </c>
      <c r="D69" s="8">
        <v>121.50570658393</v>
      </c>
      <c r="E69" s="8">
        <v>31.2432277512031</v>
      </c>
      <c r="F69" s="8" t="s">
        <v>1275</v>
      </c>
      <c r="G69" s="8" t="s">
        <v>32</v>
      </c>
      <c r="H69" s="13">
        <v>10.5416666666667</v>
      </c>
      <c r="I69" s="8" t="s">
        <v>345</v>
      </c>
      <c r="J69" s="8" t="s">
        <v>165</v>
      </c>
      <c r="K69" s="8" t="s">
        <v>165</v>
      </c>
      <c r="L69" s="8" t="s">
        <v>50</v>
      </c>
      <c r="M69" s="8">
        <v>230</v>
      </c>
      <c r="N69" s="8" t="s">
        <v>1258</v>
      </c>
      <c r="O69" s="11">
        <v>230</v>
      </c>
      <c r="P69" s="8" t="s">
        <v>43</v>
      </c>
      <c r="Q69" s="8" t="s">
        <v>13</v>
      </c>
      <c r="R69" s="8" t="s">
        <v>1633</v>
      </c>
      <c r="S69" s="8" t="s">
        <v>1634</v>
      </c>
      <c r="T69" s="8" t="s">
        <v>1634</v>
      </c>
      <c r="U69" s="8">
        <v>121.505821693562</v>
      </c>
      <c r="V69" s="8">
        <v>31.2429146473392</v>
      </c>
      <c r="W69" s="8"/>
      <c r="X69" s="15">
        <v>0.06</v>
      </c>
      <c r="Z69" s="15"/>
    </row>
    <row r="70" spans="1:26">
      <c r="A70" s="8">
        <v>4496</v>
      </c>
      <c r="B70" s="9">
        <v>44866</v>
      </c>
      <c r="C70" s="8" t="s">
        <v>543</v>
      </c>
      <c r="D70" s="8">
        <v>121.504245</v>
      </c>
      <c r="E70" s="8">
        <v>31.240828</v>
      </c>
      <c r="F70" s="8" t="s">
        <v>1275</v>
      </c>
      <c r="G70" s="8" t="s">
        <v>32</v>
      </c>
      <c r="H70" s="10">
        <v>8.2</v>
      </c>
      <c r="I70" s="8" t="s">
        <v>544</v>
      </c>
      <c r="J70" s="8" t="s">
        <v>165</v>
      </c>
      <c r="K70" s="8" t="s">
        <v>165</v>
      </c>
      <c r="L70" s="8" t="s">
        <v>50</v>
      </c>
      <c r="M70" s="8">
        <v>1090.11</v>
      </c>
      <c r="N70" s="8">
        <v>0</v>
      </c>
      <c r="O70" s="11">
        <v>1090.11</v>
      </c>
      <c r="P70" s="8" t="s">
        <v>66</v>
      </c>
      <c r="Q70" s="8" t="s">
        <v>13</v>
      </c>
      <c r="R70" s="8" t="s">
        <v>1635</v>
      </c>
      <c r="S70" s="8" t="s">
        <v>1636</v>
      </c>
      <c r="T70" s="8" t="s">
        <v>1636</v>
      </c>
      <c r="U70" s="8">
        <v>121.456324575918</v>
      </c>
      <c r="V70" s="8">
        <v>31.2323033409998</v>
      </c>
      <c r="W70" s="8"/>
      <c r="X70" s="15">
        <v>6.52</v>
      </c>
      <c r="Z70" s="15"/>
    </row>
    <row r="71" spans="1:26">
      <c r="A71" s="8">
        <v>4481</v>
      </c>
      <c r="B71" s="9">
        <v>44866</v>
      </c>
      <c r="C71" s="8" t="s">
        <v>639</v>
      </c>
      <c r="D71" s="8">
        <v>121.476238880865</v>
      </c>
      <c r="E71" s="8">
        <v>31.1983117655287</v>
      </c>
      <c r="F71" s="8" t="s">
        <v>1263</v>
      </c>
      <c r="G71" s="8" t="s">
        <v>21</v>
      </c>
      <c r="H71" s="13">
        <v>9.625</v>
      </c>
      <c r="I71" s="8" t="s">
        <v>1030</v>
      </c>
      <c r="J71" s="8" t="s">
        <v>477</v>
      </c>
      <c r="K71" s="8" t="s">
        <v>477</v>
      </c>
      <c r="L71" s="8" t="s">
        <v>50</v>
      </c>
      <c r="M71" s="8">
        <v>467.78</v>
      </c>
      <c r="N71" s="8" t="s">
        <v>1258</v>
      </c>
      <c r="O71" s="11">
        <v>467.78</v>
      </c>
      <c r="P71" s="8" t="s">
        <v>66</v>
      </c>
      <c r="Q71" s="8" t="s">
        <v>52</v>
      </c>
      <c r="R71" s="8" t="s">
        <v>1637</v>
      </c>
      <c r="S71" s="8" t="s">
        <v>1638</v>
      </c>
      <c r="T71" s="8" t="s">
        <v>1638</v>
      </c>
      <c r="U71" s="8">
        <v>121.469475252028</v>
      </c>
      <c r="V71" s="8">
        <v>31.2166824204198</v>
      </c>
      <c r="W71" s="8"/>
      <c r="X71" s="15">
        <v>2.81</v>
      </c>
      <c r="Z71" s="15"/>
    </row>
    <row r="72" spans="1:26">
      <c r="A72" s="8">
        <v>4565</v>
      </c>
      <c r="B72" s="9">
        <v>44895</v>
      </c>
      <c r="C72" s="8" t="s">
        <v>516</v>
      </c>
      <c r="D72" s="8">
        <v>121.475059396253</v>
      </c>
      <c r="E72" s="8">
        <v>31.2447779044237</v>
      </c>
      <c r="F72" s="8" t="s">
        <v>1529</v>
      </c>
      <c r="G72" s="8" t="s">
        <v>21</v>
      </c>
      <c r="H72" s="13">
        <v>7.15</v>
      </c>
      <c r="I72" s="8" t="s">
        <v>854</v>
      </c>
      <c r="J72" s="8" t="s">
        <v>171</v>
      </c>
      <c r="K72" s="8" t="s">
        <v>171</v>
      </c>
      <c r="L72" s="8" t="s">
        <v>50</v>
      </c>
      <c r="M72" s="8">
        <v>1600</v>
      </c>
      <c r="N72" s="8" t="s">
        <v>1258</v>
      </c>
      <c r="O72" s="11">
        <v>1600</v>
      </c>
      <c r="P72" s="8" t="s">
        <v>43</v>
      </c>
      <c r="Q72" s="8" t="s">
        <v>52</v>
      </c>
      <c r="R72" s="8" t="s">
        <v>1639</v>
      </c>
      <c r="S72" s="8" t="s">
        <v>1640</v>
      </c>
      <c r="T72" s="8" t="s">
        <v>1640</v>
      </c>
      <c r="U72" s="8">
        <v>121.445568663986</v>
      </c>
      <c r="V72" s="8">
        <v>31.2252427531146</v>
      </c>
      <c r="W72" s="8"/>
      <c r="X72" s="15">
        <v>4.31</v>
      </c>
      <c r="Z72" s="15"/>
    </row>
    <row r="73" spans="1:26">
      <c r="A73" s="8">
        <v>4687</v>
      </c>
      <c r="B73" s="9">
        <v>44896</v>
      </c>
      <c r="C73" s="8" t="s">
        <v>993</v>
      </c>
      <c r="D73" s="8">
        <v>121.433288107681</v>
      </c>
      <c r="E73" s="8">
        <v>31.1994591088409</v>
      </c>
      <c r="F73" s="8" t="s">
        <v>1436</v>
      </c>
      <c r="G73" s="8" t="s">
        <v>32</v>
      </c>
      <c r="H73" s="10">
        <v>8.93</v>
      </c>
      <c r="I73" s="8" t="s">
        <v>994</v>
      </c>
      <c r="J73" s="8" t="s">
        <v>165</v>
      </c>
      <c r="K73" s="8" t="s">
        <v>165</v>
      </c>
      <c r="L73" s="8" t="s">
        <v>50</v>
      </c>
      <c r="M73" s="8">
        <v>1427.66</v>
      </c>
      <c r="N73" s="8">
        <v>0</v>
      </c>
      <c r="O73" s="11">
        <v>1427.66</v>
      </c>
      <c r="P73" s="8" t="s">
        <v>43</v>
      </c>
      <c r="Q73" s="8" t="s">
        <v>13</v>
      </c>
      <c r="R73" s="8" t="s">
        <v>1641</v>
      </c>
      <c r="S73" s="8" t="s">
        <v>275</v>
      </c>
      <c r="T73" s="8" t="s">
        <v>275</v>
      </c>
      <c r="U73" s="8">
        <v>121.442488070701</v>
      </c>
      <c r="V73" s="8">
        <v>31.2171194821434</v>
      </c>
      <c r="W73" s="8"/>
      <c r="X73" s="15">
        <v>2.875</v>
      </c>
      <c r="Z73" s="15"/>
    </row>
    <row r="74" spans="1:26">
      <c r="A74" s="8">
        <v>4651</v>
      </c>
      <c r="B74" s="9">
        <v>44896</v>
      </c>
      <c r="C74" s="8" t="s">
        <v>639</v>
      </c>
      <c r="D74" s="8">
        <v>121.476238880865</v>
      </c>
      <c r="E74" s="8">
        <v>31.1983117655287</v>
      </c>
      <c r="F74" s="8" t="s">
        <v>1263</v>
      </c>
      <c r="G74" s="8" t="s">
        <v>21</v>
      </c>
      <c r="H74" s="10">
        <v>9.42222222222222</v>
      </c>
      <c r="I74" s="8" t="s">
        <v>1237</v>
      </c>
      <c r="J74" s="8" t="s">
        <v>171</v>
      </c>
      <c r="K74" s="8" t="s">
        <v>171</v>
      </c>
      <c r="L74" s="8" t="s">
        <v>50</v>
      </c>
      <c r="M74" s="8">
        <v>737.52</v>
      </c>
      <c r="N74" s="8">
        <v>0</v>
      </c>
      <c r="O74" s="11">
        <v>737.52</v>
      </c>
      <c r="P74" s="8" t="s">
        <v>245</v>
      </c>
      <c r="Q74" s="8" t="s">
        <v>52</v>
      </c>
      <c r="R74" s="8" t="s">
        <v>1642</v>
      </c>
      <c r="S74" s="8" t="s">
        <v>1643</v>
      </c>
      <c r="T74" s="8" t="s">
        <v>1643</v>
      </c>
      <c r="U74" s="8">
        <v>121.453918871234</v>
      </c>
      <c r="V74" s="8">
        <v>31.1618823198626</v>
      </c>
      <c r="W74" s="8"/>
      <c r="X74" s="15">
        <v>5.98</v>
      </c>
      <c r="Z74" s="15"/>
    </row>
    <row r="75" spans="1:26">
      <c r="A75" s="8">
        <v>4568</v>
      </c>
      <c r="B75" s="9">
        <v>44896</v>
      </c>
      <c r="C75" s="8" t="s">
        <v>373</v>
      </c>
      <c r="D75" s="8">
        <v>121.4658628</v>
      </c>
      <c r="E75" s="8">
        <v>31.23403126</v>
      </c>
      <c r="F75" s="8" t="s">
        <v>1579</v>
      </c>
      <c r="G75" s="8" t="s">
        <v>32</v>
      </c>
      <c r="H75" s="13">
        <v>6.50833333333333</v>
      </c>
      <c r="I75" s="8" t="s">
        <v>374</v>
      </c>
      <c r="J75" s="8" t="s">
        <v>74</v>
      </c>
      <c r="K75" s="8" t="s">
        <v>74</v>
      </c>
      <c r="L75" s="8" t="s">
        <v>50</v>
      </c>
      <c r="M75" s="8">
        <v>570</v>
      </c>
      <c r="N75" s="8" t="s">
        <v>1258</v>
      </c>
      <c r="O75" s="11">
        <v>570</v>
      </c>
      <c r="P75" s="8" t="s">
        <v>51</v>
      </c>
      <c r="Q75" s="8" t="s">
        <v>13</v>
      </c>
      <c r="R75" s="8" t="s">
        <v>1644</v>
      </c>
      <c r="S75" s="8" t="s">
        <v>1645</v>
      </c>
      <c r="T75" s="8" t="s">
        <v>1645</v>
      </c>
      <c r="U75" s="8">
        <v>121.469647364788</v>
      </c>
      <c r="V75" s="8">
        <v>31.2391184372623</v>
      </c>
      <c r="W75" s="8"/>
      <c r="X75" s="15">
        <v>0.8</v>
      </c>
      <c r="Z75" s="15"/>
    </row>
    <row r="76" spans="1:26">
      <c r="A76" s="8">
        <v>4666</v>
      </c>
      <c r="B76" s="9">
        <v>44896</v>
      </c>
      <c r="C76" s="8" t="s">
        <v>63</v>
      </c>
      <c r="D76" s="8">
        <v>121.4695908</v>
      </c>
      <c r="E76" s="8">
        <v>31.1724856</v>
      </c>
      <c r="F76" s="8" t="s">
        <v>1268</v>
      </c>
      <c r="G76" s="8" t="s">
        <v>21</v>
      </c>
      <c r="H76" s="10">
        <v>7.4</v>
      </c>
      <c r="I76" s="8" t="s">
        <v>1192</v>
      </c>
      <c r="J76" s="8" t="s">
        <v>171</v>
      </c>
      <c r="K76" s="8" t="s">
        <v>171</v>
      </c>
      <c r="L76" s="8" t="s">
        <v>50</v>
      </c>
      <c r="M76" s="8">
        <v>457.83</v>
      </c>
      <c r="N76" s="8">
        <v>0</v>
      </c>
      <c r="O76" s="11">
        <v>457.83</v>
      </c>
      <c r="P76" s="8" t="s">
        <v>66</v>
      </c>
      <c r="Q76" s="8" t="s">
        <v>13</v>
      </c>
      <c r="R76" s="8" t="s">
        <v>1646</v>
      </c>
      <c r="S76" s="8" t="s">
        <v>1647</v>
      </c>
      <c r="T76" s="8" t="s">
        <v>1647</v>
      </c>
      <c r="U76" s="8">
        <v>121.480156945991</v>
      </c>
      <c r="V76" s="8">
        <v>31.1853878443674</v>
      </c>
      <c r="W76" s="8"/>
      <c r="X76" s="15">
        <v>2.77</v>
      </c>
      <c r="Z76" s="15"/>
    </row>
    <row r="77" spans="1:26">
      <c r="A77" s="8">
        <v>5799</v>
      </c>
      <c r="B77" s="9">
        <v>45170</v>
      </c>
      <c r="C77" s="8" t="s">
        <v>221</v>
      </c>
      <c r="D77" s="8">
        <v>121.503089</v>
      </c>
      <c r="E77" s="8">
        <v>31.23655062</v>
      </c>
      <c r="F77" s="8" t="s">
        <v>1275</v>
      </c>
      <c r="G77" s="8" t="s">
        <v>32</v>
      </c>
      <c r="H77" s="13">
        <v>10.5416666666667</v>
      </c>
      <c r="I77" s="8" t="s">
        <v>390</v>
      </c>
      <c r="J77" s="8" t="s">
        <v>165</v>
      </c>
      <c r="K77" s="8" t="s">
        <v>165</v>
      </c>
      <c r="L77" s="8" t="s">
        <v>50</v>
      </c>
      <c r="M77" s="8">
        <v>400</v>
      </c>
      <c r="N77" s="8"/>
      <c r="O77" s="11">
        <v>400</v>
      </c>
      <c r="P77" s="8" t="s">
        <v>51</v>
      </c>
      <c r="Q77" s="8" t="s">
        <v>13</v>
      </c>
      <c r="R77" s="8" t="s">
        <v>1648</v>
      </c>
      <c r="S77" s="8" t="s">
        <v>1649</v>
      </c>
      <c r="T77" s="8" t="s">
        <v>1649</v>
      </c>
      <c r="U77" s="8">
        <v>121.506794548176</v>
      </c>
      <c r="V77" s="8">
        <v>31.2382616333009</v>
      </c>
      <c r="W77" s="8"/>
      <c r="X77" s="15">
        <v>1.385</v>
      </c>
      <c r="Z77" s="15"/>
    </row>
    <row r="78" spans="1:26">
      <c r="A78" s="8"/>
      <c r="B78" s="9">
        <v>45292</v>
      </c>
      <c r="C78" s="8" t="s">
        <v>516</v>
      </c>
      <c r="D78" s="8">
        <v>121.475059396253</v>
      </c>
      <c r="E78" s="8">
        <v>31.2447779044237</v>
      </c>
      <c r="F78" s="8" t="s">
        <v>1529</v>
      </c>
      <c r="G78" s="8" t="s">
        <v>21</v>
      </c>
      <c r="H78" s="18" t="s">
        <v>518</v>
      </c>
      <c r="I78" s="8" t="s">
        <v>519</v>
      </c>
      <c r="J78" s="8" t="s">
        <v>165</v>
      </c>
      <c r="K78" s="8" t="s">
        <v>165</v>
      </c>
      <c r="L78" s="8" t="s">
        <v>50</v>
      </c>
      <c r="M78" s="8">
        <v>10000</v>
      </c>
      <c r="N78" s="8"/>
      <c r="O78" s="11">
        <v>10000</v>
      </c>
      <c r="P78" s="8" t="s">
        <v>177</v>
      </c>
      <c r="Q78" s="8" t="s">
        <v>13</v>
      </c>
      <c r="R78" s="8" t="s">
        <v>520</v>
      </c>
      <c r="S78" s="8" t="s">
        <v>1567</v>
      </c>
      <c r="T78" s="8" t="s">
        <v>693</v>
      </c>
      <c r="U78" s="8">
        <v>121.451467447059</v>
      </c>
      <c r="V78" s="8">
        <v>31.2331359318301</v>
      </c>
      <c r="W78" s="8"/>
      <c r="X78" s="15">
        <v>3.185</v>
      </c>
      <c r="Z78" s="15"/>
    </row>
    <row r="79" spans="1:26">
      <c r="A79" s="8">
        <v>5775</v>
      </c>
      <c r="B79" s="9">
        <v>45369</v>
      </c>
      <c r="C79" s="8" t="s">
        <v>163</v>
      </c>
      <c r="D79" s="8">
        <v>121.501283410625</v>
      </c>
      <c r="E79" s="8">
        <v>31.2370729244893</v>
      </c>
      <c r="F79" s="8" t="s">
        <v>1275</v>
      </c>
      <c r="G79" s="8" t="s">
        <v>32</v>
      </c>
      <c r="H79" s="13">
        <v>9.625</v>
      </c>
      <c r="I79" s="8" t="s">
        <v>1113</v>
      </c>
      <c r="J79" s="8" t="s">
        <v>165</v>
      </c>
      <c r="K79" s="8" t="s">
        <v>165</v>
      </c>
      <c r="L79" s="8" t="s">
        <v>50</v>
      </c>
      <c r="M79" s="8">
        <v>500</v>
      </c>
      <c r="N79" s="8"/>
      <c r="O79" s="11">
        <v>500</v>
      </c>
      <c r="P79" s="8" t="s">
        <v>177</v>
      </c>
      <c r="Q79" s="8" t="s">
        <v>13</v>
      </c>
      <c r="R79" s="8" t="s">
        <v>1650</v>
      </c>
      <c r="S79" s="8" t="s">
        <v>1651</v>
      </c>
      <c r="T79" s="8" t="s">
        <v>1651</v>
      </c>
      <c r="U79" s="8">
        <v>121.443225275536</v>
      </c>
      <c r="V79" s="8">
        <v>31.199801277257</v>
      </c>
      <c r="W79" s="8"/>
      <c r="X79" s="15">
        <v>8.785</v>
      </c>
      <c r="Z79" s="15"/>
    </row>
    <row r="80" spans="1:26">
      <c r="A80" s="8">
        <v>5774</v>
      </c>
      <c r="B80" s="9">
        <v>45391</v>
      </c>
      <c r="C80" s="8" t="s">
        <v>279</v>
      </c>
      <c r="D80" s="8">
        <v>121.5234898</v>
      </c>
      <c r="E80" s="8">
        <v>31.23175762</v>
      </c>
      <c r="F80" s="8" t="s">
        <v>1257</v>
      </c>
      <c r="G80" s="8" t="s">
        <v>32</v>
      </c>
      <c r="H80" s="13">
        <v>6.41666666666667</v>
      </c>
      <c r="I80" s="8" t="s">
        <v>727</v>
      </c>
      <c r="J80" s="8" t="s">
        <v>165</v>
      </c>
      <c r="K80" s="8" t="s">
        <v>165</v>
      </c>
      <c r="L80" s="8" t="s">
        <v>50</v>
      </c>
      <c r="M80" s="8">
        <v>4300</v>
      </c>
      <c r="N80" s="8"/>
      <c r="O80" s="11">
        <v>4300</v>
      </c>
      <c r="P80" s="8" t="s">
        <v>43</v>
      </c>
      <c r="Q80" s="8" t="s">
        <v>52</v>
      </c>
      <c r="R80" s="8" t="s">
        <v>1652</v>
      </c>
      <c r="S80" s="8" t="s">
        <v>1653</v>
      </c>
      <c r="T80" s="8" t="s">
        <v>1654</v>
      </c>
      <c r="U80" s="8">
        <v>121.522854475896</v>
      </c>
      <c r="V80" s="8">
        <v>31.2295452366978</v>
      </c>
      <c r="W80" s="8"/>
      <c r="X80" s="15">
        <v>1.56</v>
      </c>
      <c r="Z80" s="15"/>
    </row>
    <row r="81" spans="1:27">
      <c r="A81" s="8">
        <v>5880</v>
      </c>
      <c r="B81" s="9">
        <v>45413</v>
      </c>
      <c r="C81" s="8" t="s">
        <v>272</v>
      </c>
      <c r="D81" s="8">
        <v>121.4973757</v>
      </c>
      <c r="E81" s="8">
        <v>31.26621727</v>
      </c>
      <c r="F81" s="8" t="s">
        <v>1286</v>
      </c>
      <c r="G81" s="8" t="s">
        <v>21</v>
      </c>
      <c r="H81" s="10">
        <v>4.25</v>
      </c>
      <c r="I81" s="8" t="s">
        <v>273</v>
      </c>
      <c r="J81" s="8" t="s">
        <v>49</v>
      </c>
      <c r="K81" s="8" t="s">
        <v>49</v>
      </c>
      <c r="L81" s="8" t="s">
        <v>50</v>
      </c>
      <c r="M81" s="8">
        <v>1940.57</v>
      </c>
      <c r="N81" s="8"/>
      <c r="O81" s="11">
        <v>1940.57</v>
      </c>
      <c r="P81" s="8" t="s">
        <v>43</v>
      </c>
      <c r="Q81" s="8" t="s">
        <v>13</v>
      </c>
      <c r="R81" s="8" t="s">
        <v>1655</v>
      </c>
      <c r="S81" s="8" t="s">
        <v>1656</v>
      </c>
      <c r="T81" s="8" t="s">
        <v>1657</v>
      </c>
      <c r="U81" s="8">
        <v>121.511490404016</v>
      </c>
      <c r="V81" s="8">
        <v>31.258588262207</v>
      </c>
      <c r="W81" s="8"/>
      <c r="X81" s="15">
        <v>2.155</v>
      </c>
      <c r="Z81" s="15"/>
    </row>
    <row r="82" spans="1:27">
      <c r="A82" s="8">
        <v>5873</v>
      </c>
      <c r="B82" s="9">
        <v>45413</v>
      </c>
      <c r="C82" s="8" t="s">
        <v>466</v>
      </c>
      <c r="D82" s="8">
        <v>121.534892407912</v>
      </c>
      <c r="E82" s="8">
        <v>31.2234112502917</v>
      </c>
      <c r="F82" s="8" t="s">
        <v>1257</v>
      </c>
      <c r="G82" s="8" t="s">
        <v>32</v>
      </c>
      <c r="H82" s="10">
        <v>5.16666666666667</v>
      </c>
      <c r="I82" s="8" t="s">
        <v>1081</v>
      </c>
      <c r="J82" s="8" t="s">
        <v>1082</v>
      </c>
      <c r="K82" s="8" t="s">
        <v>1082</v>
      </c>
      <c r="L82" s="8" t="s">
        <v>50</v>
      </c>
      <c r="M82" s="8">
        <v>406.97</v>
      </c>
      <c r="N82" s="8"/>
      <c r="O82" s="11">
        <v>406.97</v>
      </c>
      <c r="P82" s="8" t="s">
        <v>37</v>
      </c>
      <c r="Q82" s="8" t="s">
        <v>13</v>
      </c>
      <c r="R82" s="8" t="s">
        <v>1658</v>
      </c>
      <c r="S82" s="8" t="s">
        <v>1659</v>
      </c>
      <c r="T82" s="8" t="s">
        <v>1659</v>
      </c>
      <c r="U82" s="8">
        <v>121.559050398549</v>
      </c>
      <c r="V82" s="8">
        <v>31.2072102731974</v>
      </c>
      <c r="W82" s="8"/>
      <c r="X82" s="15">
        <v>4.48</v>
      </c>
      <c r="Z82" s="15"/>
    </row>
    <row r="83" spans="1:27">
      <c r="A83" s="8">
        <v>5837</v>
      </c>
      <c r="B83" s="9">
        <v>45429</v>
      </c>
      <c r="C83" s="8" t="s">
        <v>163</v>
      </c>
      <c r="D83" s="8">
        <v>121.501283410625</v>
      </c>
      <c r="E83" s="8">
        <v>31.2370729244893</v>
      </c>
      <c r="F83" s="8" t="s">
        <v>1275</v>
      </c>
      <c r="G83" s="8" t="s">
        <v>32</v>
      </c>
      <c r="H83" s="13">
        <v>6.41666666666667</v>
      </c>
      <c r="I83" s="8" t="s">
        <v>164</v>
      </c>
      <c r="J83" s="8" t="s">
        <v>165</v>
      </c>
      <c r="K83" s="8" t="s">
        <v>165</v>
      </c>
      <c r="L83" s="8" t="s">
        <v>50</v>
      </c>
      <c r="M83" s="8">
        <v>2706</v>
      </c>
      <c r="N83" s="8"/>
      <c r="O83" s="11">
        <v>2706</v>
      </c>
      <c r="P83" s="8" t="s">
        <v>26</v>
      </c>
      <c r="Q83" s="8" t="s">
        <v>13</v>
      </c>
      <c r="R83" s="8" t="s">
        <v>1660</v>
      </c>
      <c r="S83" s="8" t="s">
        <v>1661</v>
      </c>
      <c r="T83" s="8" t="s">
        <v>1661</v>
      </c>
      <c r="U83" s="8">
        <v>121.544209637454</v>
      </c>
      <c r="V83" s="8">
        <v>31.2671849842769</v>
      </c>
      <c r="W83" s="8"/>
      <c r="X83" s="15">
        <v>8.325</v>
      </c>
      <c r="Z83" s="15"/>
    </row>
    <row r="84" spans="1:27">
      <c r="A84" s="8">
        <v>5907</v>
      </c>
      <c r="B84" s="9">
        <v>45430</v>
      </c>
      <c r="C84" s="8" t="s">
        <v>466</v>
      </c>
      <c r="D84" s="8">
        <v>121.534892407912</v>
      </c>
      <c r="E84" s="8">
        <v>31.2234112502917</v>
      </c>
      <c r="F84" s="8" t="s">
        <v>1257</v>
      </c>
      <c r="G84" s="8" t="s">
        <v>32</v>
      </c>
      <c r="H84" s="10">
        <v>5.5</v>
      </c>
      <c r="I84" s="8" t="s">
        <v>833</v>
      </c>
      <c r="J84" s="8" t="s">
        <v>165</v>
      </c>
      <c r="K84" s="8" t="s">
        <v>165</v>
      </c>
      <c r="L84" s="8" t="s">
        <v>50</v>
      </c>
      <c r="M84" s="8">
        <v>300</v>
      </c>
      <c r="N84" s="8"/>
      <c r="O84" s="11">
        <v>300</v>
      </c>
      <c r="P84" s="8" t="s">
        <v>51</v>
      </c>
      <c r="Q84" s="8" t="s">
        <v>52</v>
      </c>
      <c r="R84" s="8" t="s">
        <v>1662</v>
      </c>
      <c r="S84" s="8" t="s">
        <v>1663</v>
      </c>
      <c r="T84" s="8" t="s">
        <v>1663</v>
      </c>
      <c r="U84" s="8">
        <v>121.452268742585</v>
      </c>
      <c r="V84" s="8">
        <v>31.2267604117447</v>
      </c>
      <c r="W84" s="8"/>
      <c r="X84" s="15">
        <v>9.5</v>
      </c>
      <c r="Z84" s="15"/>
    </row>
    <row r="85" spans="1:27">
      <c r="A85" s="8">
        <v>5824</v>
      </c>
      <c r="B85" s="9">
        <v>45433</v>
      </c>
      <c r="C85" s="8" t="s">
        <v>1664</v>
      </c>
      <c r="D85" s="8">
        <v>121.4689464042</v>
      </c>
      <c r="E85" s="8">
        <v>31.1553650124</v>
      </c>
      <c r="F85" s="8" t="s">
        <v>1300</v>
      </c>
      <c r="G85" s="8" t="s">
        <v>21</v>
      </c>
      <c r="H85" s="13">
        <v>5.95833333333333</v>
      </c>
      <c r="I85" s="8" t="s">
        <v>48</v>
      </c>
      <c r="J85" s="8" t="s">
        <v>49</v>
      </c>
      <c r="K85" s="8" t="s">
        <v>49</v>
      </c>
      <c r="L85" s="8" t="s">
        <v>50</v>
      </c>
      <c r="M85" s="8">
        <v>13000</v>
      </c>
      <c r="N85" s="8"/>
      <c r="O85" s="11">
        <v>13000</v>
      </c>
      <c r="P85" s="8" t="s">
        <v>51</v>
      </c>
      <c r="Q85" s="8" t="s">
        <v>52</v>
      </c>
      <c r="R85" s="8" t="s">
        <v>1665</v>
      </c>
      <c r="S85" s="8" t="s">
        <v>1666</v>
      </c>
      <c r="T85" s="8" t="s">
        <v>1666</v>
      </c>
      <c r="U85" s="8">
        <v>121.458816815886</v>
      </c>
      <c r="V85" s="8">
        <v>31.2321404641299</v>
      </c>
      <c r="W85" s="8"/>
      <c r="X85" s="15">
        <v>11.92</v>
      </c>
      <c r="Z85" s="15"/>
    </row>
    <row r="86" spans="1:27">
      <c r="A86" s="8">
        <v>5904</v>
      </c>
      <c r="B86" s="9">
        <v>45444</v>
      </c>
      <c r="C86" s="8" t="s">
        <v>281</v>
      </c>
      <c r="D86" s="8">
        <v>121.455928321736</v>
      </c>
      <c r="E86" s="8">
        <v>31.163149177406</v>
      </c>
      <c r="F86" s="8" t="s">
        <v>1272</v>
      </c>
      <c r="G86" s="8" t="s">
        <v>21</v>
      </c>
      <c r="H86" s="13">
        <v>5.95833333333333</v>
      </c>
      <c r="I86" s="8" t="s">
        <v>1101</v>
      </c>
      <c r="J86" s="8" t="s">
        <v>74</v>
      </c>
      <c r="K86" s="8" t="s">
        <v>74</v>
      </c>
      <c r="L86" s="8" t="s">
        <v>50</v>
      </c>
      <c r="M86" s="8">
        <v>15000</v>
      </c>
      <c r="N86" s="8"/>
      <c r="O86" s="11">
        <v>15000</v>
      </c>
      <c r="P86" s="8" t="s">
        <v>51</v>
      </c>
      <c r="Q86" s="8" t="s">
        <v>13</v>
      </c>
      <c r="R86" s="8" t="s">
        <v>1667</v>
      </c>
      <c r="S86" s="8" t="s">
        <v>1668</v>
      </c>
      <c r="T86" s="8" t="s">
        <v>1668</v>
      </c>
      <c r="U86" s="8">
        <v>121.429808820514</v>
      </c>
      <c r="V86" s="8">
        <v>31.203342837866</v>
      </c>
      <c r="W86" s="8"/>
      <c r="X86" s="15">
        <v>6.2</v>
      </c>
      <c r="Z86" s="15"/>
    </row>
    <row r="87" spans="1:27">
      <c r="A87" s="8">
        <v>5941</v>
      </c>
      <c r="B87" s="9">
        <v>45444</v>
      </c>
      <c r="C87" s="8" t="s">
        <v>1046</v>
      </c>
      <c r="D87" s="8">
        <v>121.5320507</v>
      </c>
      <c r="E87" s="8">
        <v>31.22353829</v>
      </c>
      <c r="F87" s="8" t="s">
        <v>1257</v>
      </c>
      <c r="G87" s="8" t="s">
        <v>32</v>
      </c>
      <c r="H87" s="10">
        <v>7.2</v>
      </c>
      <c r="I87" s="8" t="s">
        <v>1047</v>
      </c>
      <c r="J87" s="8" t="s">
        <v>165</v>
      </c>
      <c r="K87" s="8" t="s">
        <v>165</v>
      </c>
      <c r="L87" s="8" t="s">
        <v>50</v>
      </c>
      <c r="M87" s="8">
        <v>5682.52</v>
      </c>
      <c r="N87" s="8"/>
      <c r="O87" s="11">
        <v>5682.52</v>
      </c>
      <c r="P87" s="8" t="s">
        <v>212</v>
      </c>
      <c r="Q87" s="8" t="s">
        <v>13</v>
      </c>
      <c r="R87" s="8" t="s">
        <v>1308</v>
      </c>
      <c r="S87" s="8" t="s">
        <v>1310</v>
      </c>
      <c r="T87" s="8" t="s">
        <v>1310</v>
      </c>
      <c r="U87" s="8">
        <v>121.530363593957</v>
      </c>
      <c r="V87" s="8">
        <v>31.2149627096916</v>
      </c>
      <c r="W87" s="8"/>
      <c r="X87" s="15">
        <v>1.7</v>
      </c>
      <c r="Z87" s="15"/>
    </row>
    <row r="88" spans="1:27">
      <c r="A88" s="8">
        <v>6090</v>
      </c>
      <c r="B88" s="9">
        <v>45447</v>
      </c>
      <c r="C88" s="8" t="s">
        <v>149</v>
      </c>
      <c r="D88" s="8">
        <v>121.311071757219</v>
      </c>
      <c r="E88" s="8">
        <v>31.1968616359084</v>
      </c>
      <c r="F88" s="8" t="s">
        <v>1518</v>
      </c>
      <c r="G88" s="8" t="s">
        <v>21</v>
      </c>
      <c r="H88" s="13">
        <v>5.5</v>
      </c>
      <c r="I88" s="8" t="s">
        <v>152</v>
      </c>
      <c r="J88" s="8" t="s">
        <v>49</v>
      </c>
      <c r="K88" s="8" t="s">
        <v>49</v>
      </c>
      <c r="L88" s="8" t="s">
        <v>50</v>
      </c>
      <c r="M88" s="8">
        <v>2200</v>
      </c>
      <c r="N88" s="8"/>
      <c r="O88" s="11">
        <v>2200</v>
      </c>
      <c r="P88" s="8" t="s">
        <v>51</v>
      </c>
      <c r="Q88" s="8" t="s">
        <v>13</v>
      </c>
      <c r="R88" s="8" t="s">
        <v>1669</v>
      </c>
      <c r="S88" s="8" t="s">
        <v>1670</v>
      </c>
      <c r="T88" s="8" t="s">
        <v>1670</v>
      </c>
      <c r="U88" s="8">
        <v>121.368471221566</v>
      </c>
      <c r="V88" s="8">
        <v>31.2909333905714</v>
      </c>
      <c r="W88" s="8"/>
      <c r="X88" s="15">
        <v>16.165</v>
      </c>
      <c r="Z88" s="15"/>
    </row>
    <row r="89" spans="1:27">
      <c r="A89" s="8">
        <v>6132</v>
      </c>
      <c r="B89" s="9">
        <v>45474</v>
      </c>
      <c r="C89" s="8" t="s">
        <v>511</v>
      </c>
      <c r="D89" s="8">
        <v>121.4600777</v>
      </c>
      <c r="E89" s="8">
        <v>31.23347822</v>
      </c>
      <c r="F89" s="8" t="s">
        <v>1293</v>
      </c>
      <c r="G89" s="8" t="s">
        <v>32</v>
      </c>
      <c r="H89" s="13">
        <v>8.25</v>
      </c>
      <c r="I89" s="8" t="s">
        <v>512</v>
      </c>
      <c r="J89" s="8" t="s">
        <v>165</v>
      </c>
      <c r="K89" s="8" t="s">
        <v>165</v>
      </c>
      <c r="L89" s="8" t="s">
        <v>50</v>
      </c>
      <c r="M89" s="8">
        <v>350</v>
      </c>
      <c r="N89" s="8"/>
      <c r="O89" s="11">
        <v>350</v>
      </c>
      <c r="P89" s="8" t="s">
        <v>51</v>
      </c>
      <c r="Q89" s="8" t="s">
        <v>52</v>
      </c>
      <c r="R89" s="8" t="s">
        <v>1671</v>
      </c>
      <c r="S89" s="8" t="s">
        <v>1672</v>
      </c>
      <c r="T89" s="8" t="s">
        <v>1305</v>
      </c>
      <c r="U89" s="8">
        <v>121.512459931091</v>
      </c>
      <c r="V89" s="8">
        <v>31.233140504844</v>
      </c>
      <c r="W89" s="8"/>
      <c r="X89" s="15">
        <v>6.225</v>
      </c>
      <c r="Z89" s="15"/>
    </row>
    <row r="90" spans="1:27">
      <c r="A90" s="8">
        <v>6015</v>
      </c>
      <c r="B90" s="9">
        <v>45495</v>
      </c>
      <c r="C90" s="8" t="s">
        <v>437</v>
      </c>
      <c r="D90" s="8">
        <v>121.4957139</v>
      </c>
      <c r="E90" s="8">
        <v>31.23718046</v>
      </c>
      <c r="F90" s="8" t="s">
        <v>1275</v>
      </c>
      <c r="G90" s="8" t="s">
        <v>32</v>
      </c>
      <c r="H90" s="13">
        <v>5.5</v>
      </c>
      <c r="I90" s="8" t="s">
        <v>438</v>
      </c>
      <c r="J90" s="8" t="s">
        <v>165</v>
      </c>
      <c r="K90" s="8" t="s">
        <v>165</v>
      </c>
      <c r="L90" s="8" t="s">
        <v>50</v>
      </c>
      <c r="M90" s="8">
        <v>1000</v>
      </c>
      <c r="N90" s="8"/>
      <c r="O90" s="11">
        <v>1000</v>
      </c>
      <c r="P90" s="8" t="s">
        <v>26</v>
      </c>
      <c r="Q90" s="8" t="s">
        <v>13</v>
      </c>
      <c r="R90" s="8" t="s">
        <v>1673</v>
      </c>
      <c r="S90" s="8" t="s">
        <v>1649</v>
      </c>
      <c r="T90" s="8" t="s">
        <v>1649</v>
      </c>
      <c r="U90" s="8">
        <v>121.506826654604</v>
      </c>
      <c r="V90" s="8">
        <v>31.2383526862993</v>
      </c>
      <c r="W90" s="8"/>
      <c r="X90" s="15">
        <v>1.815</v>
      </c>
      <c r="Z90" s="15"/>
    </row>
    <row r="91" spans="1:27">
      <c r="A91" s="8">
        <v>6106</v>
      </c>
      <c r="B91" s="9">
        <v>45505</v>
      </c>
      <c r="C91" s="8" t="s">
        <v>516</v>
      </c>
      <c r="D91" s="8">
        <v>121.475059396253</v>
      </c>
      <c r="E91" s="8">
        <v>31.2447779044237</v>
      </c>
      <c r="F91" s="8" t="s">
        <v>1529</v>
      </c>
      <c r="G91" s="8" t="s">
        <v>21</v>
      </c>
      <c r="H91" s="10">
        <v>7.79166666666667</v>
      </c>
      <c r="I91" s="8" t="s">
        <v>738</v>
      </c>
      <c r="J91" s="8" t="s">
        <v>601</v>
      </c>
      <c r="K91" s="8" t="s">
        <v>601</v>
      </c>
      <c r="L91" s="8" t="s">
        <v>50</v>
      </c>
      <c r="M91" s="8">
        <v>470</v>
      </c>
      <c r="N91" s="8"/>
      <c r="O91" s="11">
        <v>470</v>
      </c>
      <c r="P91" s="8" t="s">
        <v>26</v>
      </c>
      <c r="Q91" s="8" t="s">
        <v>52</v>
      </c>
      <c r="R91" s="8" t="s">
        <v>1674</v>
      </c>
      <c r="S91" s="8" t="s">
        <v>599</v>
      </c>
      <c r="T91" s="8" t="s">
        <v>599</v>
      </c>
      <c r="U91" s="8">
        <v>121.449553412577</v>
      </c>
      <c r="V91" s="8">
        <v>31.2285416107803</v>
      </c>
      <c r="W91" s="8"/>
      <c r="X91" s="15">
        <v>3.82</v>
      </c>
      <c r="Z91" s="15"/>
    </row>
    <row r="92" spans="1:27">
      <c r="A92" s="8">
        <v>6029</v>
      </c>
      <c r="B92" s="9">
        <v>45518</v>
      </c>
      <c r="C92" s="8" t="s">
        <v>173</v>
      </c>
      <c r="D92" s="8">
        <v>121.472282054465</v>
      </c>
      <c r="E92" s="8">
        <v>31.213452571</v>
      </c>
      <c r="F92" s="8" t="s">
        <v>1334</v>
      </c>
      <c r="G92" s="8" t="s">
        <v>32</v>
      </c>
      <c r="H92" s="13">
        <v>6.41666666666667</v>
      </c>
      <c r="I92" s="8" t="s">
        <v>1069</v>
      </c>
      <c r="J92" s="8" t="s">
        <v>601</v>
      </c>
      <c r="K92" s="8" t="s">
        <v>601</v>
      </c>
      <c r="L92" s="8" t="s">
        <v>50</v>
      </c>
      <c r="M92" s="8">
        <v>3000</v>
      </c>
      <c r="N92" s="8"/>
      <c r="O92" s="11">
        <v>3000</v>
      </c>
      <c r="P92" s="8" t="s">
        <v>26</v>
      </c>
      <c r="Q92" s="8" t="s">
        <v>13</v>
      </c>
      <c r="R92" s="8" t="s">
        <v>1675</v>
      </c>
      <c r="S92" s="8" t="s">
        <v>1676</v>
      </c>
      <c r="T92" s="8" t="s">
        <v>1676</v>
      </c>
      <c r="U92" s="8">
        <v>121.474148861333</v>
      </c>
      <c r="V92" s="8">
        <v>31.207580656392</v>
      </c>
      <c r="W92" s="8"/>
      <c r="X92" s="15">
        <v>1.18</v>
      </c>
      <c r="Z92" s="15"/>
    </row>
    <row r="93" spans="1:27">
      <c r="H93" s="20" t="s">
        <v>1476</v>
      </c>
      <c r="I93" s="21"/>
      <c r="J93" s="21"/>
    </row>
    <row r="94" spans="1:27">
      <c r="H94" s="22" t="s">
        <v>1477</v>
      </c>
      <c r="I94" s="21">
        <f>COUNTIF($H$2:$H$92,"&lt;=5")</f>
        <v>12</v>
      </c>
      <c r="J94" s="23">
        <f>I94/91</f>
        <v>0.131868131868132</v>
      </c>
      <c r="R94" t="s">
        <v>13</v>
      </c>
      <c r="S94" t="s">
        <v>1478</v>
      </c>
      <c r="T94" t="s">
        <v>1479</v>
      </c>
      <c r="Y94" s="24" t="s">
        <v>1480</v>
      </c>
      <c r="Z94" s="25">
        <f>COUNTIF($X$2:$X$92,"&lt;2")</f>
        <v>19</v>
      </c>
      <c r="AA94" s="26">
        <f>Z94/$Z$104</f>
        <v>0.208791208791209</v>
      </c>
    </row>
    <row r="95" spans="1:27">
      <c r="H95" s="22" t="s">
        <v>1481</v>
      </c>
      <c r="I95" s="21">
        <f>COUNTIF($H$2:$H$92,"&gt;=5")-COUNTIF($H$2:$H$92,"&gt;=7")</f>
        <v>33</v>
      </c>
      <c r="J95" s="23">
        <f>I95/91</f>
        <v>0.362637362637363</v>
      </c>
      <c r="R95" t="s">
        <v>13</v>
      </c>
      <c r="S95">
        <v>68</v>
      </c>
      <c r="T95" s="29">
        <f>S95/91</f>
        <v>0.747252747252747</v>
      </c>
      <c r="Y95" s="24" t="s">
        <v>1482</v>
      </c>
      <c r="Z95" s="24">
        <f>COUNTIF($X$2:$X$92,"&gt;=2")-COUNTIF($X$2:$X$92,"&gt;=4")</f>
        <v>17</v>
      </c>
      <c r="AA95" s="26">
        <f t="shared" ref="AA95:AA103" si="0">Z95/$Z$104</f>
        <v>0.186813186813187</v>
      </c>
    </row>
    <row r="96" spans="1:27">
      <c r="H96" s="22" t="s">
        <v>1483</v>
      </c>
      <c r="I96" s="21">
        <f>COUNTIF($H$2:$H$92,"&gt;=7")-COUNTIF($H$2:$H$92,"&gt;=9")</f>
        <v>28</v>
      </c>
      <c r="J96" s="23">
        <f>I96/91</f>
        <v>0.307692307692308</v>
      </c>
      <c r="S96">
        <v>91</v>
      </c>
      <c r="Y96" s="24" t="s">
        <v>1484</v>
      </c>
      <c r="Z96" s="24">
        <f>COUNTIF($X$2:$X$92,"&gt;=4")-COUNTIF($X$2:$X$92,"&gt;=6")</f>
        <v>15</v>
      </c>
      <c r="AA96" s="26">
        <f t="shared" si="0"/>
        <v>0.164835164835165</v>
      </c>
    </row>
    <row r="97" spans="8:27">
      <c r="H97" s="22" t="s">
        <v>1485</v>
      </c>
      <c r="I97" s="21">
        <f>COUNTIF($H$2:$H$92,"&gt;=9")-COUNTIF($H$2:$H$92,"&gt;=11")</f>
        <v>12</v>
      </c>
      <c r="J97" s="23">
        <f>I97/91</f>
        <v>0.131868131868132</v>
      </c>
      <c r="Y97" s="24" t="s">
        <v>1486</v>
      </c>
      <c r="Z97" s="24">
        <f>COUNTIF($X$2:$X$92,"&gt;=6")-COUNTIF($X$2:$X$92,"&gt;=8")</f>
        <v>16</v>
      </c>
      <c r="AA97" s="26">
        <f t="shared" si="0"/>
        <v>0.175824175824176</v>
      </c>
    </row>
    <row r="98" ht="14.5" spans="8:27">
      <c r="H98" s="22" t="s">
        <v>1487</v>
      </c>
      <c r="I98" s="21">
        <f>COUNTIF($H$2:$H$92,"&gt;=11")</f>
        <v>6</v>
      </c>
      <c r="J98" s="23">
        <f>I98/91</f>
        <v>0.0659340659340659</v>
      </c>
      <c r="R98" t="s">
        <v>1490</v>
      </c>
      <c r="S98" s="26">
        <f>S95/477</f>
        <v>0.142557651991614</v>
      </c>
      <c r="Y98" s="24" t="s">
        <v>1488</v>
      </c>
      <c r="Z98" s="24">
        <f>COUNTIF($X$2:$X$92,"&gt;=8")-COUNTIF($X$2:$X$92,"&gt;=10")</f>
        <v>4</v>
      </c>
      <c r="AA98" s="26">
        <f t="shared" si="0"/>
        <v>0.043956043956044</v>
      </c>
    </row>
    <row r="99" spans="8:27">
      <c r="I99">
        <f>SUM(I94:I98)</f>
        <v>91</v>
      </c>
      <c r="J99">
        <f>SUM(J94:J98)</f>
        <v>1</v>
      </c>
      <c r="Y99" s="24" t="s">
        <v>1489</v>
      </c>
      <c r="Z99" s="24">
        <f>COUNTIF($X$2:$X$92,"&gt;=10")-COUNTIF($X$2:$X$92,"&gt;=12")</f>
        <v>7</v>
      </c>
      <c r="AA99" s="26">
        <f t="shared" si="0"/>
        <v>0.0769230769230769</v>
      </c>
    </row>
    <row r="100" spans="8:27">
      <c r="Y100" s="24" t="s">
        <v>1491</v>
      </c>
      <c r="Z100" s="24">
        <f>COUNTIF($X$2:$X$92,"&gt;=12")-COUNTIF($X$2:$X$92,"&gt;=14")</f>
        <v>5</v>
      </c>
      <c r="AA100" s="26">
        <f t="shared" si="0"/>
        <v>0.0549450549450549</v>
      </c>
    </row>
    <row r="101" spans="8:27">
      <c r="Y101" s="24" t="s">
        <v>1492</v>
      </c>
      <c r="Z101" s="24">
        <f>COUNTIF($X$2:$X$92,"&gt;=14")-COUNTIF($X$2:$X$92,"&gt;=16")</f>
        <v>2</v>
      </c>
      <c r="AA101" s="26">
        <f t="shared" si="0"/>
        <v>0.021978021978022</v>
      </c>
    </row>
    <row r="102" spans="8:27">
      <c r="Y102" s="24" t="s">
        <v>1493</v>
      </c>
      <c r="Z102" s="24">
        <f>COUNTIF($X$2:$X$92,"&gt;=16")-COUNTIF($X$2:$X$92,"&gt;=18")</f>
        <v>1</v>
      </c>
      <c r="AA102" s="26">
        <f t="shared" si="0"/>
        <v>0.010989010989011</v>
      </c>
    </row>
    <row r="103" spans="8:27">
      <c r="Y103" s="24" t="s">
        <v>1494</v>
      </c>
      <c r="Z103" s="24">
        <f>COUNTIF($X$2:$X$92,"&gt;=18")</f>
        <v>5</v>
      </c>
      <c r="AA103" s="26">
        <f t="shared" si="0"/>
        <v>0.0549450549450549</v>
      </c>
    </row>
    <row r="104" spans="8:27">
      <c r="Z104">
        <f>SUM(Z94:Z103)</f>
        <v>91</v>
      </c>
      <c r="AA104">
        <f>SUM(AA94:AA103)</f>
        <v>1</v>
      </c>
    </row>
  </sheetData>
  <autoFilter xmlns:etc="http://www.wps.cn/officeDocument/2017/etCustomData" ref="A1:X99" etc:filterBottomFollowUsedRange="0">
    <extLst/>
  </autoFilter>
  <conditionalFormatting sqref="A2 A3 A4 A5 A6 A7:A8 A9 A10 A11 A12 A13 A14 A15 A16 A17 A18 A19:A20 A21 A22 A23 A24 A25 A26 A27 A28 A29 A30 A31 A32:A33 A34 A35:A36 A37:A38 A39 A40 A41 A42 A43 A44 A45 A46 A47:A48 A49 A50 A51:A52 A53:A54 A55 A56:A57 A58 A59 A60 A61 A62 A63 A64 A65 A66 A67 A68 A69 A70 A71 A72 A73 A74 A75:A76 A77 A78 A79 A80 A81 A82 A83 A84 A85 A86 A87 A88 A89 A90 A91 A92">
    <cfRule type="duplicateValues" dxfId="0" priority="2"/>
  </conditionalFormatting>
  <conditionalFormatting sqref="I2 I3 I4 I5 I6 I7:I8 I9 I10 I11 I12 I13 I14 I15 I16 I17 I18 I19:I20 I21 I22 I23 I24 I25 I26 I27 I28 I29 I30 I31 I32:I33 I34 I35:I36 I37:I38 I39 I40 I41 I42 I43 I44 I45 I46 I47:I48 I49 I50 I51:I52 I53:I54 I55 I56:I57 I58 I59 I60 I61 I62 I63 I64 I65 I66 I67 I68 I69 I70 I71 I72 I73 I74 I75:I76 I77 I78 I79 I80 I81 I82 I83 I84 I85 I86 I87 I88 I89 I90 I91 I92">
    <cfRule type="duplicateValues" dxfId="0" priority="1"/>
  </conditionalFormatting>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54"/>
  <sheetViews>
    <sheetView topLeftCell="A37" workbookViewId="0">
      <selection activeCell="F33" sqref="F33"/>
    </sheetView>
  </sheetViews>
  <sheetFormatPr defaultColWidth="8.63333333333333" defaultRowHeight="14"/>
  <sheetData>
    <row r="1" s="1" customFormat="1" ht="70" spans="1:52 16365:16384">
      <c r="A1" s="2" t="s">
        <v>1244</v>
      </c>
      <c r="B1" s="3" t="s">
        <v>1245</v>
      </c>
      <c r="C1" s="4" t="s">
        <v>1</v>
      </c>
      <c r="D1" s="5" t="s">
        <v>1246</v>
      </c>
      <c r="E1" s="5" t="s">
        <v>1247</v>
      </c>
      <c r="F1" s="4" t="s">
        <v>1248</v>
      </c>
      <c r="G1" s="4" t="s">
        <v>4</v>
      </c>
      <c r="H1" s="4" t="s">
        <v>5</v>
      </c>
      <c r="I1" s="6" t="s">
        <v>6</v>
      </c>
      <c r="J1" s="6" t="s">
        <v>7</v>
      </c>
      <c r="K1" s="6" t="s">
        <v>8</v>
      </c>
      <c r="L1" s="6" t="s">
        <v>9</v>
      </c>
      <c r="M1" s="4" t="s">
        <v>10</v>
      </c>
      <c r="N1" s="4" t="s">
        <v>1249</v>
      </c>
      <c r="O1" s="4" t="s">
        <v>11</v>
      </c>
      <c r="P1" s="4" t="s">
        <v>12</v>
      </c>
      <c r="Q1" s="6" t="s">
        <v>13</v>
      </c>
      <c r="R1" s="4" t="s">
        <v>1250</v>
      </c>
      <c r="S1" s="4" t="s">
        <v>1251</v>
      </c>
      <c r="T1" s="4" t="s">
        <v>1252</v>
      </c>
      <c r="U1" s="4" t="s">
        <v>1253</v>
      </c>
      <c r="V1" s="4" t="s">
        <v>1254</v>
      </c>
      <c r="W1" s="4" t="s">
        <v>1255</v>
      </c>
      <c r="X1" s="7" t="s">
        <v>1256</v>
      </c>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XEK1"/>
      <c r="XEL1"/>
      <c r="XEM1"/>
      <c r="XEN1"/>
      <c r="XEO1"/>
      <c r="XEP1"/>
      <c r="XEQ1"/>
      <c r="XER1"/>
      <c r="XES1"/>
      <c r="XET1"/>
      <c r="XEU1"/>
      <c r="XEV1"/>
      <c r="XEW1"/>
      <c r="XEX1"/>
      <c r="XEY1"/>
      <c r="XEZ1"/>
      <c r="XFA1"/>
      <c r="XFB1"/>
      <c r="XFC1"/>
      <c r="XFD1"/>
    </row>
    <row r="2" spans="1:52 16365:16384">
      <c r="A2" s="8">
        <v>4886</v>
      </c>
      <c r="B2" s="9">
        <v>44988</v>
      </c>
      <c r="C2" s="8" t="s">
        <v>903</v>
      </c>
      <c r="D2" s="8">
        <v>121.417465034612</v>
      </c>
      <c r="E2" s="8">
        <v>31.1997373474495</v>
      </c>
      <c r="F2" s="8" t="s">
        <v>1286</v>
      </c>
      <c r="G2" s="8" t="s">
        <v>32</v>
      </c>
      <c r="H2" s="13">
        <v>7.15</v>
      </c>
      <c r="I2" s="8" t="s">
        <v>259</v>
      </c>
      <c r="J2" s="8" t="s">
        <v>199</v>
      </c>
      <c r="K2" s="8" t="s">
        <v>200</v>
      </c>
      <c r="L2" s="8" t="s">
        <v>201</v>
      </c>
      <c r="M2" s="8">
        <v>1052</v>
      </c>
      <c r="N2" s="8" t="s">
        <v>1258</v>
      </c>
      <c r="O2" s="11">
        <v>1052</v>
      </c>
      <c r="P2" s="8" t="s">
        <v>43</v>
      </c>
      <c r="Q2" s="8" t="s">
        <v>13</v>
      </c>
      <c r="R2" s="8" t="s">
        <v>1677</v>
      </c>
      <c r="S2" s="12" t="s">
        <v>1677</v>
      </c>
      <c r="T2" s="8" t="s">
        <v>1678</v>
      </c>
      <c r="U2" s="8">
        <v>121.454635905916</v>
      </c>
      <c r="V2" s="8">
        <v>31.246694925605</v>
      </c>
      <c r="W2" s="8" t="s">
        <v>1262</v>
      </c>
      <c r="X2">
        <v>7.767</v>
      </c>
    </row>
    <row r="3" spans="1:52 16365:16384">
      <c r="A3" s="8">
        <v>4887</v>
      </c>
      <c r="B3" s="9">
        <v>44991</v>
      </c>
      <c r="C3" s="8" t="s">
        <v>562</v>
      </c>
      <c r="D3" s="8">
        <v>121.477566819507</v>
      </c>
      <c r="E3" s="8">
        <v>31.1523733511471</v>
      </c>
      <c r="F3" s="8" t="s">
        <v>1300</v>
      </c>
      <c r="G3" s="8" t="s">
        <v>21</v>
      </c>
      <c r="H3" s="13">
        <v>5.86666666666667</v>
      </c>
      <c r="I3" s="8" t="s">
        <v>563</v>
      </c>
      <c r="J3" s="8" t="s">
        <v>564</v>
      </c>
      <c r="K3" s="8" t="s">
        <v>200</v>
      </c>
      <c r="L3" s="8" t="s">
        <v>201</v>
      </c>
      <c r="M3" s="8">
        <v>980</v>
      </c>
      <c r="N3" s="8" t="s">
        <v>1258</v>
      </c>
      <c r="O3" s="11">
        <v>980</v>
      </c>
      <c r="P3" s="8" t="s">
        <v>43</v>
      </c>
      <c r="Q3" s="8" t="s">
        <v>13</v>
      </c>
      <c r="R3" s="8" t="s">
        <v>1679</v>
      </c>
      <c r="S3" s="12" t="s">
        <v>1679</v>
      </c>
      <c r="T3" s="8" t="s">
        <v>1680</v>
      </c>
      <c r="U3" s="8">
        <v>121.512363938868</v>
      </c>
      <c r="V3" s="8">
        <v>31.1585465657535</v>
      </c>
      <c r="W3" s="8" t="s">
        <v>1262</v>
      </c>
      <c r="X3">
        <v>4.039</v>
      </c>
    </row>
    <row r="4" spans="1:52 16365:16384">
      <c r="A4" s="8">
        <v>4960</v>
      </c>
      <c r="B4" s="9">
        <v>45017</v>
      </c>
      <c r="C4" s="8" t="s">
        <v>168</v>
      </c>
      <c r="D4" s="8">
        <v>121.391503363144</v>
      </c>
      <c r="E4" s="8">
        <v>31.2447752841159</v>
      </c>
      <c r="F4" s="8" t="s">
        <v>1498</v>
      </c>
      <c r="G4" s="8" t="s">
        <v>21</v>
      </c>
      <c r="H4" s="13">
        <v>3.94166666666667</v>
      </c>
      <c r="I4" s="8" t="s">
        <v>521</v>
      </c>
      <c r="J4" s="8" t="s">
        <v>239</v>
      </c>
      <c r="K4" s="8" t="s">
        <v>200</v>
      </c>
      <c r="L4" s="8" t="s">
        <v>201</v>
      </c>
      <c r="M4" s="8">
        <v>830</v>
      </c>
      <c r="N4" s="8" t="s">
        <v>1258</v>
      </c>
      <c r="O4" s="11">
        <v>830</v>
      </c>
      <c r="P4" s="8" t="s">
        <v>26</v>
      </c>
      <c r="Q4" s="8" t="s">
        <v>13</v>
      </c>
      <c r="R4" s="8" t="s">
        <v>1681</v>
      </c>
      <c r="S4" s="12" t="s">
        <v>1682</v>
      </c>
      <c r="T4" s="8" t="s">
        <v>1683</v>
      </c>
      <c r="U4" s="8">
        <v>121.364381935505</v>
      </c>
      <c r="V4" s="8">
        <v>31.1723667502243</v>
      </c>
      <c r="W4" s="8" t="s">
        <v>1262</v>
      </c>
      <c r="X4">
        <v>10.767</v>
      </c>
    </row>
    <row r="5" spans="1:52 16365:16384">
      <c r="A5" s="8">
        <v>5385</v>
      </c>
      <c r="B5" s="9">
        <v>45172</v>
      </c>
      <c r="C5" s="8" t="s">
        <v>308</v>
      </c>
      <c r="D5" s="8">
        <v>121.497753</v>
      </c>
      <c r="E5" s="8">
        <v>31.23598224</v>
      </c>
      <c r="F5" s="8" t="s">
        <v>1275</v>
      </c>
      <c r="G5" s="8" t="s">
        <v>32</v>
      </c>
      <c r="H5" s="13">
        <v>5.59166666666667</v>
      </c>
      <c r="I5" s="8" t="s">
        <v>313</v>
      </c>
      <c r="J5" s="8" t="s">
        <v>314</v>
      </c>
      <c r="K5" s="8" t="s">
        <v>200</v>
      </c>
      <c r="L5" s="8" t="s">
        <v>201</v>
      </c>
      <c r="M5" s="8">
        <v>760</v>
      </c>
      <c r="N5" s="8" t="s">
        <v>1258</v>
      </c>
      <c r="O5" s="11">
        <v>760</v>
      </c>
      <c r="P5" s="8" t="s">
        <v>75</v>
      </c>
      <c r="Q5" s="8" t="s">
        <v>13</v>
      </c>
      <c r="R5" s="8" t="s">
        <v>1684</v>
      </c>
      <c r="S5" s="12" t="s">
        <v>1684</v>
      </c>
      <c r="T5" s="8" t="s">
        <v>1684</v>
      </c>
      <c r="U5" s="8">
        <v>121.382762206547</v>
      </c>
      <c r="V5" s="8">
        <v>31.1699510057919</v>
      </c>
      <c r="W5" s="8" t="s">
        <v>1262</v>
      </c>
      <c r="X5">
        <v>15.794</v>
      </c>
    </row>
    <row r="6" ht="70" spans="1:52 16365:16384">
      <c r="A6" s="8">
        <v>5481</v>
      </c>
      <c r="B6" s="9">
        <v>45231</v>
      </c>
      <c r="C6" s="8" t="s">
        <v>1196</v>
      </c>
      <c r="D6" s="8">
        <v>121.448665</v>
      </c>
      <c r="E6" s="8">
        <v>31.27581238</v>
      </c>
      <c r="F6" s="8" t="s">
        <v>1685</v>
      </c>
      <c r="G6" s="8" t="s">
        <v>21</v>
      </c>
      <c r="H6" s="10">
        <v>4.31</v>
      </c>
      <c r="I6" s="17" t="s">
        <v>1197</v>
      </c>
      <c r="J6" s="8" t="s">
        <v>564</v>
      </c>
      <c r="K6" s="8" t="s">
        <v>200</v>
      </c>
      <c r="L6" s="8" t="s">
        <v>201</v>
      </c>
      <c r="M6" s="8">
        <v>155.85</v>
      </c>
      <c r="N6" s="8" t="s">
        <v>1258</v>
      </c>
      <c r="O6" s="11">
        <v>155.85</v>
      </c>
      <c r="P6" s="8" t="s">
        <v>75</v>
      </c>
      <c r="Q6" s="8" t="s">
        <v>13</v>
      </c>
      <c r="R6" s="8" t="s">
        <v>1686</v>
      </c>
      <c r="S6" s="12" t="s">
        <v>1198</v>
      </c>
      <c r="T6" s="8" t="s">
        <v>1198</v>
      </c>
      <c r="U6" s="8">
        <v>121.439804809634</v>
      </c>
      <c r="V6" s="8">
        <v>31.3251045491507</v>
      </c>
      <c r="W6" s="8" t="s">
        <v>1262</v>
      </c>
      <c r="X6">
        <v>5.649</v>
      </c>
    </row>
    <row r="7" spans="1:52 16365:16384">
      <c r="A7" s="8">
        <v>5714</v>
      </c>
      <c r="B7" s="9">
        <v>45376</v>
      </c>
      <c r="C7" s="8" t="s">
        <v>1178</v>
      </c>
      <c r="D7" s="8">
        <v>121.4438954243</v>
      </c>
      <c r="E7" s="8">
        <v>31.2397854509</v>
      </c>
      <c r="F7" s="8" t="s">
        <v>1286</v>
      </c>
      <c r="G7" s="8" t="s">
        <v>32</v>
      </c>
      <c r="H7" s="13">
        <v>4.58333333333333</v>
      </c>
      <c r="I7" s="8" t="s">
        <v>1179</v>
      </c>
      <c r="J7" s="8" t="s">
        <v>564</v>
      </c>
      <c r="K7" s="8" t="s">
        <v>200</v>
      </c>
      <c r="L7" s="8" t="s">
        <v>201</v>
      </c>
      <c r="M7" s="8">
        <v>740</v>
      </c>
      <c r="N7" s="8" t="s">
        <v>1258</v>
      </c>
      <c r="O7" s="11">
        <v>740</v>
      </c>
      <c r="P7" s="8" t="s">
        <v>43</v>
      </c>
      <c r="Q7" s="8" t="s">
        <v>13</v>
      </c>
      <c r="R7" s="8" t="s">
        <v>1687</v>
      </c>
      <c r="S7" s="12" t="s">
        <v>1688</v>
      </c>
      <c r="T7" s="8" t="s">
        <v>1689</v>
      </c>
      <c r="U7" s="8">
        <v>121.449004535086</v>
      </c>
      <c r="V7" s="8">
        <v>31.2455602868694</v>
      </c>
      <c r="W7" s="8" t="s">
        <v>1262</v>
      </c>
      <c r="X7">
        <v>1.747</v>
      </c>
    </row>
    <row r="8" spans="1:52 16365:16384">
      <c r="A8" s="8">
        <v>4751</v>
      </c>
      <c r="B8" s="9">
        <v>44927</v>
      </c>
      <c r="C8" s="8" t="s">
        <v>516</v>
      </c>
      <c r="D8" s="8">
        <v>121.475059396253</v>
      </c>
      <c r="E8" s="8">
        <v>31.2447779044237</v>
      </c>
      <c r="F8" s="8" t="s">
        <v>1529</v>
      </c>
      <c r="G8" s="8" t="s">
        <v>21</v>
      </c>
      <c r="H8" s="10">
        <v>6.875</v>
      </c>
      <c r="I8" s="8" t="s">
        <v>1034</v>
      </c>
      <c r="J8" s="8" t="s">
        <v>199</v>
      </c>
      <c r="K8" s="8" t="s">
        <v>200</v>
      </c>
      <c r="L8" s="8" t="s">
        <v>201</v>
      </c>
      <c r="M8" s="8">
        <v>1200</v>
      </c>
      <c r="N8" s="8" t="s">
        <v>1258</v>
      </c>
      <c r="O8" s="11">
        <v>1200</v>
      </c>
      <c r="P8" s="8" t="s">
        <v>43</v>
      </c>
      <c r="Q8" s="8" t="s">
        <v>13</v>
      </c>
      <c r="R8" s="8" t="s">
        <v>1690</v>
      </c>
      <c r="S8" s="12" t="s">
        <v>1691</v>
      </c>
      <c r="T8" s="8" t="s">
        <v>1692</v>
      </c>
      <c r="U8" s="8">
        <v>121.43376331054</v>
      </c>
      <c r="V8" s="8">
        <v>31.2384995556817</v>
      </c>
      <c r="W8" s="8" t="s">
        <v>32</v>
      </c>
      <c r="X8">
        <v>4.427</v>
      </c>
    </row>
    <row r="9" spans="1:52 16365:16384">
      <c r="A9" s="8">
        <v>4804</v>
      </c>
      <c r="B9" s="9">
        <v>44958</v>
      </c>
      <c r="C9" s="8" t="s">
        <v>637</v>
      </c>
      <c r="D9" s="8">
        <v>121.457618142617</v>
      </c>
      <c r="E9" s="8">
        <v>31.2379999031583</v>
      </c>
      <c r="F9" s="8" t="s">
        <v>1293</v>
      </c>
      <c r="G9" s="8" t="s">
        <v>32</v>
      </c>
      <c r="H9" s="10">
        <v>16.8586666666667</v>
      </c>
      <c r="I9" s="8" t="s">
        <v>638</v>
      </c>
      <c r="J9" s="8" t="s">
        <v>199</v>
      </c>
      <c r="K9" s="8" t="s">
        <v>200</v>
      </c>
      <c r="L9" s="8" t="s">
        <v>201</v>
      </c>
      <c r="M9" s="8">
        <v>2270.71</v>
      </c>
      <c r="N9" s="8"/>
      <c r="O9" s="11">
        <v>2270.71</v>
      </c>
      <c r="P9" s="8" t="s">
        <v>75</v>
      </c>
      <c r="Q9" s="8" t="s">
        <v>13</v>
      </c>
      <c r="R9" s="8" t="s">
        <v>1566</v>
      </c>
      <c r="S9" s="12" t="s">
        <v>1693</v>
      </c>
      <c r="T9" s="8" t="s">
        <v>1694</v>
      </c>
      <c r="U9" s="8">
        <v>121.452004439358</v>
      </c>
      <c r="V9" s="8">
        <v>31.2335318471254</v>
      </c>
      <c r="W9" s="8" t="s">
        <v>32</v>
      </c>
      <c r="X9">
        <v>1.14</v>
      </c>
    </row>
    <row r="10" spans="1:52 16365:16384">
      <c r="A10" s="8">
        <v>4820</v>
      </c>
      <c r="B10" s="9">
        <v>44972</v>
      </c>
      <c r="C10" s="8" t="s">
        <v>691</v>
      </c>
      <c r="D10" s="8">
        <v>121.4515886</v>
      </c>
      <c r="E10" s="8">
        <v>31.21806858</v>
      </c>
      <c r="F10" s="8" t="s">
        <v>1695</v>
      </c>
      <c r="G10" s="8" t="s">
        <v>32</v>
      </c>
      <c r="H10" s="13">
        <v>9.35</v>
      </c>
      <c r="I10" s="8" t="s">
        <v>692</v>
      </c>
      <c r="J10" s="8" t="s">
        <v>564</v>
      </c>
      <c r="K10" s="8" t="s">
        <v>200</v>
      </c>
      <c r="L10" s="8" t="s">
        <v>201</v>
      </c>
      <c r="M10" s="8">
        <v>500</v>
      </c>
      <c r="N10" s="8" t="s">
        <v>1258</v>
      </c>
      <c r="O10" s="11">
        <v>500</v>
      </c>
      <c r="P10" s="8" t="s">
        <v>51</v>
      </c>
      <c r="Q10" s="8" t="s">
        <v>52</v>
      </c>
      <c r="R10" s="8" t="s">
        <v>1696</v>
      </c>
      <c r="S10" s="12" t="s">
        <v>1697</v>
      </c>
      <c r="T10" s="8" t="s">
        <v>1698</v>
      </c>
      <c r="U10" s="8">
        <v>121.469566299244</v>
      </c>
      <c r="V10" s="8">
        <v>31.2244651593684</v>
      </c>
      <c r="W10" s="8" t="s">
        <v>32</v>
      </c>
      <c r="X10">
        <v>2.33</v>
      </c>
    </row>
    <row r="11" spans="1:52 16365:16384">
      <c r="A11" s="8">
        <v>4846</v>
      </c>
      <c r="B11" s="9">
        <v>44986</v>
      </c>
      <c r="C11" s="8" t="s">
        <v>442</v>
      </c>
      <c r="D11" s="8">
        <v>121.4402698</v>
      </c>
      <c r="E11" s="8">
        <v>31.22348451</v>
      </c>
      <c r="F11" s="8" t="s">
        <v>1293</v>
      </c>
      <c r="G11" s="8" t="s">
        <v>32</v>
      </c>
      <c r="H11" s="13">
        <v>10.5416666666667</v>
      </c>
      <c r="I11" s="8" t="s">
        <v>443</v>
      </c>
      <c r="J11" s="8" t="s">
        <v>444</v>
      </c>
      <c r="K11" s="8" t="s">
        <v>200</v>
      </c>
      <c r="L11" s="8" t="s">
        <v>201</v>
      </c>
      <c r="M11" s="8">
        <v>2100</v>
      </c>
      <c r="N11" s="8" t="s">
        <v>1258</v>
      </c>
      <c r="O11" s="11">
        <v>2100</v>
      </c>
      <c r="P11" s="8" t="s">
        <v>43</v>
      </c>
      <c r="Q11" s="8" t="s">
        <v>52</v>
      </c>
      <c r="R11" s="8" t="s">
        <v>1699</v>
      </c>
      <c r="S11" s="12" t="s">
        <v>1700</v>
      </c>
      <c r="T11" s="8" t="s">
        <v>1701</v>
      </c>
      <c r="U11" s="8">
        <v>121.44473302368</v>
      </c>
      <c r="V11" s="8">
        <v>31.2258756441878</v>
      </c>
      <c r="W11" s="8" t="s">
        <v>32</v>
      </c>
      <c r="X11">
        <v>0.99</v>
      </c>
    </row>
    <row r="12" spans="1:52 16365:16384">
      <c r="A12" s="8">
        <v>4926</v>
      </c>
      <c r="B12" s="9">
        <v>45015</v>
      </c>
      <c r="C12" s="8" t="s">
        <v>948</v>
      </c>
      <c r="D12" s="8">
        <v>121.470578994213</v>
      </c>
      <c r="E12" s="8">
        <v>31.2248595753127</v>
      </c>
      <c r="F12" s="8" t="s">
        <v>1334</v>
      </c>
      <c r="G12" s="8" t="s">
        <v>32</v>
      </c>
      <c r="H12" s="10">
        <v>10.6944444444444</v>
      </c>
      <c r="I12" s="8" t="s">
        <v>951</v>
      </c>
      <c r="J12" s="8" t="s">
        <v>314</v>
      </c>
      <c r="K12" s="8" t="s">
        <v>200</v>
      </c>
      <c r="L12" s="8" t="s">
        <v>201</v>
      </c>
      <c r="M12" s="8">
        <v>300</v>
      </c>
      <c r="N12" s="8" t="s">
        <v>1258</v>
      </c>
      <c r="O12" s="11">
        <v>300</v>
      </c>
      <c r="P12" s="8" t="s">
        <v>66</v>
      </c>
      <c r="Q12" s="8" t="s">
        <v>52</v>
      </c>
      <c r="R12" s="8" t="s">
        <v>1294</v>
      </c>
      <c r="S12" s="12" t="s">
        <v>1702</v>
      </c>
      <c r="T12" s="8" t="s">
        <v>1296</v>
      </c>
      <c r="U12" s="8">
        <v>121.458122418281</v>
      </c>
      <c r="V12" s="8">
        <v>31.2311049072385</v>
      </c>
      <c r="W12" s="8" t="s">
        <v>32</v>
      </c>
      <c r="X12">
        <v>2.276</v>
      </c>
    </row>
    <row r="13" spans="1:52 16365:16384">
      <c r="A13" s="8">
        <v>4985</v>
      </c>
      <c r="B13" s="9">
        <v>45040</v>
      </c>
      <c r="C13" s="8" t="s">
        <v>1208</v>
      </c>
      <c r="D13" s="8">
        <v>121.458679531769</v>
      </c>
      <c r="E13" s="8">
        <v>31.2298557917556</v>
      </c>
      <c r="F13" s="8" t="s">
        <v>1293</v>
      </c>
      <c r="G13" s="8" t="s">
        <v>32</v>
      </c>
      <c r="H13" s="13">
        <v>13.75</v>
      </c>
      <c r="I13" s="8" t="s">
        <v>1209</v>
      </c>
      <c r="J13" s="8" t="s">
        <v>199</v>
      </c>
      <c r="K13" s="8" t="s">
        <v>200</v>
      </c>
      <c r="L13" s="8" t="s">
        <v>201</v>
      </c>
      <c r="M13" s="8">
        <v>2100</v>
      </c>
      <c r="N13" s="8" t="s">
        <v>1258</v>
      </c>
      <c r="O13" s="11">
        <v>2100</v>
      </c>
      <c r="P13" s="8" t="s">
        <v>43</v>
      </c>
      <c r="Q13" s="8" t="s">
        <v>52</v>
      </c>
      <c r="R13" s="8" t="s">
        <v>1699</v>
      </c>
      <c r="S13" s="12" t="s">
        <v>1703</v>
      </c>
      <c r="T13" s="8" t="s">
        <v>1704</v>
      </c>
      <c r="U13" s="8">
        <v>121.44473302368</v>
      </c>
      <c r="V13" s="8">
        <v>31.2258756441878</v>
      </c>
      <c r="W13" s="8" t="s">
        <v>32</v>
      </c>
      <c r="X13">
        <v>1.737</v>
      </c>
    </row>
    <row r="14" spans="1:52 16365:16384">
      <c r="A14" s="8">
        <v>5080</v>
      </c>
      <c r="B14" s="9">
        <v>45077</v>
      </c>
      <c r="C14" s="8" t="s">
        <v>1705</v>
      </c>
      <c r="D14" s="8">
        <v>121.493726450976</v>
      </c>
      <c r="E14" s="8">
        <v>31.2283869065829</v>
      </c>
      <c r="F14" s="8" t="s">
        <v>1372</v>
      </c>
      <c r="G14" s="8" t="s">
        <v>32</v>
      </c>
      <c r="H14" s="13">
        <v>13.75</v>
      </c>
      <c r="I14" s="8" t="s">
        <v>741</v>
      </c>
      <c r="J14" s="8" t="s">
        <v>444</v>
      </c>
      <c r="K14" s="8" t="s">
        <v>200</v>
      </c>
      <c r="L14" s="8" t="s">
        <v>201</v>
      </c>
      <c r="M14" s="8">
        <v>4080</v>
      </c>
      <c r="N14" s="8" t="s">
        <v>1258</v>
      </c>
      <c r="O14" s="11">
        <v>4080</v>
      </c>
      <c r="P14" s="8" t="s">
        <v>66</v>
      </c>
      <c r="Q14" s="8" t="s">
        <v>13</v>
      </c>
      <c r="R14" s="8" t="s">
        <v>1706</v>
      </c>
      <c r="S14" s="12" t="s">
        <v>1707</v>
      </c>
      <c r="T14" s="8" t="s">
        <v>1708</v>
      </c>
      <c r="U14" s="8">
        <v>121.495003556721</v>
      </c>
      <c r="V14" s="8">
        <v>31.2271108406696</v>
      </c>
      <c r="W14" s="8" t="s">
        <v>32</v>
      </c>
      <c r="X14">
        <v>0.89</v>
      </c>
    </row>
    <row r="15" spans="1:52 16365:16384">
      <c r="A15" s="8">
        <v>5250</v>
      </c>
      <c r="B15" s="9">
        <v>45128</v>
      </c>
      <c r="C15" s="8" t="s">
        <v>483</v>
      </c>
      <c r="D15" s="8">
        <v>121.456371440004</v>
      </c>
      <c r="E15" s="8">
        <v>31.1848132594499</v>
      </c>
      <c r="F15" s="8" t="s">
        <v>1272</v>
      </c>
      <c r="G15" s="8" t="s">
        <v>21</v>
      </c>
      <c r="H15" s="13">
        <v>4.58333333333333</v>
      </c>
      <c r="I15" s="8" t="s">
        <v>1138</v>
      </c>
      <c r="J15" s="8" t="s">
        <v>239</v>
      </c>
      <c r="K15" s="8" t="s">
        <v>200</v>
      </c>
      <c r="L15" s="8" t="s">
        <v>201</v>
      </c>
      <c r="M15" s="8">
        <v>500</v>
      </c>
      <c r="N15" s="8" t="s">
        <v>1258</v>
      </c>
      <c r="O15" s="11">
        <v>500</v>
      </c>
      <c r="P15" s="8" t="s">
        <v>240</v>
      </c>
      <c r="Q15" s="8" t="s">
        <v>52</v>
      </c>
      <c r="R15" s="8" t="s">
        <v>1709</v>
      </c>
      <c r="S15" s="12" t="s">
        <v>1710</v>
      </c>
      <c r="T15" s="8" t="s">
        <v>1711</v>
      </c>
      <c r="U15" s="8">
        <v>121.432593372747</v>
      </c>
      <c r="V15" s="8">
        <v>31.1957501295047</v>
      </c>
      <c r="W15" s="8" t="s">
        <v>32</v>
      </c>
      <c r="X15">
        <v>4.367</v>
      </c>
    </row>
    <row r="16" spans="1:52 16365:16384">
      <c r="A16" s="8">
        <v>5260</v>
      </c>
      <c r="B16" s="9">
        <v>45139</v>
      </c>
      <c r="C16" s="8" t="s">
        <v>180</v>
      </c>
      <c r="D16" s="8">
        <v>121.456623924091</v>
      </c>
      <c r="E16" s="8">
        <v>31.239371056045</v>
      </c>
      <c r="F16" s="8" t="s">
        <v>1293</v>
      </c>
      <c r="G16" s="8" t="s">
        <v>32</v>
      </c>
      <c r="H16" s="13">
        <v>6.41666666666667</v>
      </c>
      <c r="I16" s="8" t="s">
        <v>198</v>
      </c>
      <c r="J16" s="8" t="s">
        <v>199</v>
      </c>
      <c r="K16" s="8" t="s">
        <v>200</v>
      </c>
      <c r="L16" s="8" t="s">
        <v>201</v>
      </c>
      <c r="M16" s="8">
        <v>4500</v>
      </c>
      <c r="N16" s="8" t="s">
        <v>1258</v>
      </c>
      <c r="O16" s="11">
        <v>4500</v>
      </c>
      <c r="P16" s="8" t="s">
        <v>51</v>
      </c>
      <c r="Q16" s="8" t="s">
        <v>13</v>
      </c>
      <c r="R16" s="8" t="s">
        <v>1712</v>
      </c>
      <c r="S16" s="12" t="s">
        <v>1089</v>
      </c>
      <c r="T16" s="8" t="s">
        <v>1089</v>
      </c>
      <c r="U16" s="8">
        <v>121.473529154503</v>
      </c>
      <c r="V16" s="8">
        <v>31.2329579502075</v>
      </c>
      <c r="W16" s="8" t="s">
        <v>32</v>
      </c>
      <c r="X16">
        <v>2.387</v>
      </c>
    </row>
    <row r="17" spans="1:26">
      <c r="A17" s="8">
        <v>5288</v>
      </c>
      <c r="B17" s="9">
        <v>45139</v>
      </c>
      <c r="C17" s="8" t="s">
        <v>442</v>
      </c>
      <c r="D17" s="8">
        <v>121.4402698</v>
      </c>
      <c r="E17" s="8">
        <v>31.22348451</v>
      </c>
      <c r="F17" s="8" t="s">
        <v>1293</v>
      </c>
      <c r="G17" s="8" t="s">
        <v>32</v>
      </c>
      <c r="H17" s="13">
        <v>10.5416666666667</v>
      </c>
      <c r="I17" s="8" t="s">
        <v>451</v>
      </c>
      <c r="J17" s="8" t="s">
        <v>314</v>
      </c>
      <c r="K17" s="8" t="s">
        <v>200</v>
      </c>
      <c r="L17" s="8" t="s">
        <v>201</v>
      </c>
      <c r="M17" s="8">
        <v>430</v>
      </c>
      <c r="N17" s="8" t="s">
        <v>1258</v>
      </c>
      <c r="O17" s="11">
        <v>430</v>
      </c>
      <c r="P17" s="8" t="s">
        <v>51</v>
      </c>
      <c r="Q17" s="8" t="s">
        <v>13</v>
      </c>
      <c r="R17" s="8" t="s">
        <v>1598</v>
      </c>
      <c r="S17" s="12" t="s">
        <v>1599</v>
      </c>
      <c r="T17" s="8" t="s">
        <v>1600</v>
      </c>
      <c r="U17" s="8">
        <v>121.452304261384</v>
      </c>
      <c r="V17" s="8">
        <v>31.2305159570075</v>
      </c>
      <c r="W17" s="8" t="s">
        <v>32</v>
      </c>
      <c r="X17">
        <v>1.957</v>
      </c>
    </row>
    <row r="18" spans="1:26">
      <c r="A18" s="8">
        <v>5302</v>
      </c>
      <c r="B18" s="9">
        <v>45153</v>
      </c>
      <c r="C18" s="8" t="s">
        <v>1078</v>
      </c>
      <c r="D18" s="8">
        <v>121.4432343</v>
      </c>
      <c r="E18" s="8">
        <v>31.22473667</v>
      </c>
      <c r="F18" s="8" t="s">
        <v>1293</v>
      </c>
      <c r="G18" s="8" t="s">
        <v>32</v>
      </c>
      <c r="H18" s="13">
        <v>12.375</v>
      </c>
      <c r="I18" s="8" t="s">
        <v>1079</v>
      </c>
      <c r="J18" s="8" t="s">
        <v>444</v>
      </c>
      <c r="K18" s="8" t="s">
        <v>200</v>
      </c>
      <c r="L18" s="8" t="s">
        <v>201</v>
      </c>
      <c r="M18" s="8">
        <v>2700</v>
      </c>
      <c r="N18" s="8" t="s">
        <v>1258</v>
      </c>
      <c r="O18" s="11">
        <v>2700</v>
      </c>
      <c r="P18" s="8" t="s">
        <v>43</v>
      </c>
      <c r="Q18" s="8" t="s">
        <v>52</v>
      </c>
      <c r="R18" s="8" t="s">
        <v>1699</v>
      </c>
      <c r="S18" s="12" t="s">
        <v>1713</v>
      </c>
      <c r="T18" s="8" t="s">
        <v>1713</v>
      </c>
      <c r="U18" s="8">
        <v>121.44473302368</v>
      </c>
      <c r="V18" s="8">
        <v>31.2258756441878</v>
      </c>
      <c r="W18" s="8" t="s">
        <v>32</v>
      </c>
      <c r="X18">
        <v>0.65</v>
      </c>
    </row>
    <row r="19" spans="1:26">
      <c r="A19" s="8">
        <v>5509</v>
      </c>
      <c r="B19" s="9">
        <v>45231</v>
      </c>
      <c r="C19" s="8" t="s">
        <v>671</v>
      </c>
      <c r="D19" s="8">
        <v>121.500775190549</v>
      </c>
      <c r="E19" s="8">
        <v>31.2541696781424</v>
      </c>
      <c r="F19" s="8" t="s">
        <v>1312</v>
      </c>
      <c r="G19" s="8" t="s">
        <v>21</v>
      </c>
      <c r="H19" s="13">
        <v>5.04166666666667</v>
      </c>
      <c r="I19" s="8" t="s">
        <v>676</v>
      </c>
      <c r="J19" s="8" t="s">
        <v>564</v>
      </c>
      <c r="K19" s="8" t="s">
        <v>200</v>
      </c>
      <c r="L19" s="8" t="s">
        <v>201</v>
      </c>
      <c r="M19" s="8">
        <v>3200</v>
      </c>
      <c r="N19" s="8" t="s">
        <v>1258</v>
      </c>
      <c r="O19" s="11">
        <v>3200</v>
      </c>
      <c r="P19" s="8" t="s">
        <v>240</v>
      </c>
      <c r="Q19" s="8" t="s">
        <v>13</v>
      </c>
      <c r="R19" s="8" t="s">
        <v>1714</v>
      </c>
      <c r="S19" s="12" t="s">
        <v>1715</v>
      </c>
      <c r="T19" s="8" t="s">
        <v>1716</v>
      </c>
      <c r="U19" s="8">
        <v>121.465972455925</v>
      </c>
      <c r="V19" s="8">
        <v>31.2313435133321</v>
      </c>
      <c r="W19" s="8" t="s">
        <v>32</v>
      </c>
      <c r="X19">
        <v>5.092</v>
      </c>
    </row>
    <row r="20" spans="1:26">
      <c r="A20" s="8">
        <v>5565</v>
      </c>
      <c r="B20" s="9">
        <v>45261</v>
      </c>
      <c r="C20" s="8" t="s">
        <v>1221</v>
      </c>
      <c r="D20" s="8">
        <v>121.402004733358</v>
      </c>
      <c r="E20" s="8">
        <v>31.2563954472561</v>
      </c>
      <c r="F20" s="8" t="s">
        <v>1498</v>
      </c>
      <c r="G20" s="8" t="s">
        <v>21</v>
      </c>
      <c r="H20" s="10">
        <v>3.15</v>
      </c>
      <c r="I20" s="8" t="s">
        <v>1224</v>
      </c>
      <c r="J20" s="8" t="s">
        <v>564</v>
      </c>
      <c r="K20" s="8" t="s">
        <v>200</v>
      </c>
      <c r="L20" s="8" t="s">
        <v>201</v>
      </c>
      <c r="M20" s="8">
        <v>1847.95</v>
      </c>
      <c r="N20" s="8" t="s">
        <v>1258</v>
      </c>
      <c r="O20" s="11">
        <v>1847.95</v>
      </c>
      <c r="P20" s="8" t="s">
        <v>66</v>
      </c>
      <c r="Q20" s="8" t="s">
        <v>52</v>
      </c>
      <c r="R20" s="8" t="s">
        <v>1225</v>
      </c>
      <c r="S20" s="12" t="s">
        <v>1717</v>
      </c>
      <c r="T20" s="8" t="s">
        <v>1305</v>
      </c>
      <c r="U20" s="8">
        <v>121.512231309208</v>
      </c>
      <c r="V20" s="8">
        <v>31.2329133428835</v>
      </c>
      <c r="W20" s="8" t="s">
        <v>32</v>
      </c>
      <c r="X20">
        <v>13.675</v>
      </c>
    </row>
    <row r="21" spans="1:26">
      <c r="A21" s="8">
        <v>5584</v>
      </c>
      <c r="B21" s="9">
        <v>45261</v>
      </c>
      <c r="C21" s="8" t="s">
        <v>516</v>
      </c>
      <c r="D21" s="8">
        <v>121.475059396253</v>
      </c>
      <c r="E21" s="8">
        <v>31.2447779044237</v>
      </c>
      <c r="F21" s="8" t="s">
        <v>1529</v>
      </c>
      <c r="G21" s="8" t="s">
        <v>21</v>
      </c>
      <c r="H21" s="13">
        <v>6.875</v>
      </c>
      <c r="I21" s="8" t="s">
        <v>1026</v>
      </c>
      <c r="J21" s="8" t="s">
        <v>199</v>
      </c>
      <c r="K21" s="8" t="s">
        <v>200</v>
      </c>
      <c r="L21" s="8" t="s">
        <v>201</v>
      </c>
      <c r="M21" s="8">
        <v>1200</v>
      </c>
      <c r="N21" s="8" t="s">
        <v>1258</v>
      </c>
      <c r="O21" s="11">
        <v>1000</v>
      </c>
      <c r="P21" s="8" t="s">
        <v>43</v>
      </c>
      <c r="Q21" s="8" t="s">
        <v>52</v>
      </c>
      <c r="R21" s="8" t="s">
        <v>1718</v>
      </c>
      <c r="S21" s="12" t="s">
        <v>1719</v>
      </c>
      <c r="T21" s="8" t="s">
        <v>1720</v>
      </c>
      <c r="U21" s="8">
        <v>121.469041940407</v>
      </c>
      <c r="V21" s="8">
        <v>31.2255076183747</v>
      </c>
      <c r="W21" s="8" t="s">
        <v>32</v>
      </c>
      <c r="X21">
        <v>3.42</v>
      </c>
    </row>
    <row r="22" spans="1:26">
      <c r="A22" s="8">
        <v>5638</v>
      </c>
      <c r="B22" s="9">
        <v>45302</v>
      </c>
      <c r="C22" s="8" t="s">
        <v>1000</v>
      </c>
      <c r="D22" s="8">
        <v>121.39830225</v>
      </c>
      <c r="E22" s="8">
        <v>31.20878058</v>
      </c>
      <c r="F22" s="8" t="s">
        <v>1565</v>
      </c>
      <c r="G22" s="8" t="s">
        <v>32</v>
      </c>
      <c r="H22" s="13">
        <v>8.25</v>
      </c>
      <c r="I22" s="8" t="s">
        <v>1003</v>
      </c>
      <c r="J22" s="8" t="s">
        <v>239</v>
      </c>
      <c r="K22" s="8" t="s">
        <v>200</v>
      </c>
      <c r="L22" s="8" t="s">
        <v>201</v>
      </c>
      <c r="M22" s="8">
        <v>4500</v>
      </c>
      <c r="N22" s="8" t="s">
        <v>1258</v>
      </c>
      <c r="O22" s="11">
        <v>4500</v>
      </c>
      <c r="P22" s="8" t="s">
        <v>75</v>
      </c>
      <c r="Q22" s="8" t="s">
        <v>13</v>
      </c>
      <c r="R22" s="8" t="s">
        <v>1721</v>
      </c>
      <c r="S22" s="12" t="s">
        <v>1722</v>
      </c>
      <c r="T22" s="8" t="s">
        <v>1722</v>
      </c>
      <c r="U22" s="8">
        <v>121.398516335455</v>
      </c>
      <c r="V22" s="8">
        <v>31.2113425508912</v>
      </c>
      <c r="W22" s="8" t="s">
        <v>32</v>
      </c>
      <c r="X22">
        <v>1.256</v>
      </c>
    </row>
    <row r="23" spans="1:26">
      <c r="A23" s="8">
        <v>5732</v>
      </c>
      <c r="B23" s="9">
        <v>45352.5699884259</v>
      </c>
      <c r="C23" s="8" t="s">
        <v>516</v>
      </c>
      <c r="D23" s="8">
        <v>121.475059396253</v>
      </c>
      <c r="E23" s="8">
        <v>31.2447779044237</v>
      </c>
      <c r="F23" s="8" t="s">
        <v>1529</v>
      </c>
      <c r="G23" s="8" t="s">
        <v>21</v>
      </c>
      <c r="H23" s="10">
        <v>8.2</v>
      </c>
      <c r="I23" s="8" t="s">
        <v>1036</v>
      </c>
      <c r="J23" s="8" t="s">
        <v>199</v>
      </c>
      <c r="K23" s="8" t="s">
        <v>200</v>
      </c>
      <c r="L23" s="8" t="s">
        <v>201</v>
      </c>
      <c r="M23" s="8">
        <v>5104.7</v>
      </c>
      <c r="N23" s="8"/>
      <c r="O23" s="11">
        <v>5104.7</v>
      </c>
      <c r="P23" s="8" t="s">
        <v>43</v>
      </c>
      <c r="Q23" s="8" t="s">
        <v>13</v>
      </c>
      <c r="R23" s="8" t="s">
        <v>1723</v>
      </c>
      <c r="S23" s="12" t="s">
        <v>1724</v>
      </c>
      <c r="T23" s="8" t="s">
        <v>1725</v>
      </c>
      <c r="U23" s="8">
        <v>121.434220695588</v>
      </c>
      <c r="V23" s="8">
        <v>31.2391142527818</v>
      </c>
      <c r="W23" s="8" t="s">
        <v>32</v>
      </c>
      <c r="X23">
        <v>4.479</v>
      </c>
    </row>
    <row r="24" spans="1:26">
      <c r="A24" s="8">
        <v>3991</v>
      </c>
      <c r="B24" s="9">
        <v>44562</v>
      </c>
      <c r="C24" s="8" t="s">
        <v>825</v>
      </c>
      <c r="D24" s="8">
        <v>121.4733099</v>
      </c>
      <c r="E24" s="8">
        <v>31.22287764</v>
      </c>
      <c r="F24" s="8" t="s">
        <v>1334</v>
      </c>
      <c r="G24" s="8" t="s">
        <v>32</v>
      </c>
      <c r="H24" s="13">
        <v>8.70833333333333</v>
      </c>
      <c r="I24" s="8" t="s">
        <v>826</v>
      </c>
      <c r="J24" s="8" t="s">
        <v>314</v>
      </c>
      <c r="K24" s="8" t="s">
        <v>200</v>
      </c>
      <c r="L24" s="8" t="s">
        <v>201</v>
      </c>
      <c r="M24" s="8" t="s">
        <v>827</v>
      </c>
      <c r="N24" s="8" t="s">
        <v>1258</v>
      </c>
      <c r="O24" s="11">
        <v>2000</v>
      </c>
      <c r="P24" s="8" t="s">
        <v>43</v>
      </c>
      <c r="Q24" s="8" t="s">
        <v>13</v>
      </c>
      <c r="R24" s="8" t="s">
        <v>1726</v>
      </c>
      <c r="S24" s="8" t="s">
        <v>373</v>
      </c>
      <c r="T24" s="8" t="s">
        <v>373</v>
      </c>
      <c r="U24" s="8">
        <v>121.465755814188</v>
      </c>
      <c r="V24" s="8">
        <v>31.2342861988258</v>
      </c>
      <c r="W24" s="8"/>
      <c r="X24" s="15">
        <v>1.805</v>
      </c>
      <c r="Z24" s="15"/>
    </row>
    <row r="25" spans="1:26">
      <c r="A25" s="8">
        <v>3970</v>
      </c>
      <c r="B25" s="9">
        <v>44562</v>
      </c>
      <c r="C25" s="8" t="s">
        <v>830</v>
      </c>
      <c r="D25" s="8">
        <v>121.464165</v>
      </c>
      <c r="E25" s="8">
        <v>31.20783507</v>
      </c>
      <c r="F25" s="8" t="s">
        <v>1286</v>
      </c>
      <c r="G25" s="8" t="s">
        <v>32</v>
      </c>
      <c r="H25" s="10">
        <v>7.2</v>
      </c>
      <c r="I25" s="8" t="s">
        <v>831</v>
      </c>
      <c r="J25" s="8" t="s">
        <v>239</v>
      </c>
      <c r="K25" s="8" t="s">
        <v>200</v>
      </c>
      <c r="L25" s="8" t="s">
        <v>201</v>
      </c>
      <c r="M25" s="8">
        <v>156.66</v>
      </c>
      <c r="N25" s="8" t="s">
        <v>1258</v>
      </c>
      <c r="O25" s="11">
        <v>156.66</v>
      </c>
      <c r="P25" s="8" t="s">
        <v>245</v>
      </c>
      <c r="Q25" s="8" t="s">
        <v>52</v>
      </c>
      <c r="R25" s="8" t="s">
        <v>1727</v>
      </c>
      <c r="S25" s="8" t="s">
        <v>1728</v>
      </c>
      <c r="T25" s="8" t="s">
        <v>1728</v>
      </c>
      <c r="U25" s="8">
        <v>121.491768435184</v>
      </c>
      <c r="V25" s="8">
        <v>31.251845668506</v>
      </c>
      <c r="W25" s="8"/>
      <c r="X25" s="15">
        <v>7.64</v>
      </c>
      <c r="Z25" s="15"/>
    </row>
    <row r="26" spans="1:26">
      <c r="A26" s="8">
        <v>4126</v>
      </c>
      <c r="B26" s="9">
        <v>44683</v>
      </c>
      <c r="C26" s="8" t="s">
        <v>546</v>
      </c>
      <c r="D26" s="8">
        <v>121.4502105833</v>
      </c>
      <c r="E26" s="8">
        <v>31.1846519825</v>
      </c>
      <c r="F26" s="8" t="s">
        <v>1272</v>
      </c>
      <c r="G26" s="8" t="s">
        <v>21</v>
      </c>
      <c r="H26" s="13">
        <v>6.69166666666667</v>
      </c>
      <c r="I26" s="8" t="s">
        <v>547</v>
      </c>
      <c r="J26" s="8" t="s">
        <v>239</v>
      </c>
      <c r="K26" s="8" t="s">
        <v>200</v>
      </c>
      <c r="L26" s="8" t="s">
        <v>201</v>
      </c>
      <c r="M26" s="8">
        <v>1256.96</v>
      </c>
      <c r="N26" s="8" t="s">
        <v>1258</v>
      </c>
      <c r="O26" s="11">
        <v>1256.96</v>
      </c>
      <c r="P26" s="8" t="s">
        <v>43</v>
      </c>
      <c r="Q26" s="8" t="s">
        <v>13</v>
      </c>
      <c r="R26" s="8" t="s">
        <v>1729</v>
      </c>
      <c r="S26" s="8" t="s">
        <v>1730</v>
      </c>
      <c r="T26" s="8" t="s">
        <v>1730</v>
      </c>
      <c r="U26" s="8">
        <v>121.44400208761</v>
      </c>
      <c r="V26" s="8">
        <v>31.1999547300537</v>
      </c>
      <c r="W26" s="8"/>
      <c r="X26" s="15">
        <v>3.205</v>
      </c>
      <c r="Z26" s="15"/>
    </row>
    <row r="27" spans="1:26">
      <c r="A27" s="8">
        <v>4184</v>
      </c>
      <c r="B27" s="9">
        <v>44734</v>
      </c>
      <c r="C27" s="8" t="s">
        <v>516</v>
      </c>
      <c r="D27" s="8">
        <v>121.475059396253</v>
      </c>
      <c r="E27" s="8">
        <v>31.2447779044237</v>
      </c>
      <c r="F27" s="8" t="s">
        <v>1529</v>
      </c>
      <c r="G27" s="8" t="s">
        <v>21</v>
      </c>
      <c r="H27" s="10">
        <v>8</v>
      </c>
      <c r="I27" s="8" t="s">
        <v>1040</v>
      </c>
      <c r="J27" s="8" t="s">
        <v>199</v>
      </c>
      <c r="K27" s="8" t="s">
        <v>200</v>
      </c>
      <c r="L27" s="8" t="s">
        <v>201</v>
      </c>
      <c r="M27" s="8">
        <v>4000</v>
      </c>
      <c r="N27" s="8" t="s">
        <v>1258</v>
      </c>
      <c r="O27" s="11">
        <v>4000</v>
      </c>
      <c r="P27" s="8" t="s">
        <v>66</v>
      </c>
      <c r="Q27" s="8" t="s">
        <v>52</v>
      </c>
      <c r="R27" s="8" t="s">
        <v>1731</v>
      </c>
      <c r="S27" s="8" t="s">
        <v>442</v>
      </c>
      <c r="T27" s="8" t="s">
        <v>442</v>
      </c>
      <c r="U27" s="8">
        <v>121.440152275549</v>
      </c>
      <c r="V27" s="8">
        <v>31.2233931202403</v>
      </c>
      <c r="W27" s="8"/>
      <c r="X27" s="15">
        <v>4.795</v>
      </c>
      <c r="Z27" s="15"/>
    </row>
    <row r="28" spans="1:26">
      <c r="A28" s="8">
        <v>4173</v>
      </c>
      <c r="B28" s="9">
        <v>44734</v>
      </c>
      <c r="C28" s="8" t="s">
        <v>442</v>
      </c>
      <c r="D28" s="8">
        <v>121.4402698</v>
      </c>
      <c r="E28" s="8">
        <v>31.22348451</v>
      </c>
      <c r="F28" s="8" t="s">
        <v>1293</v>
      </c>
      <c r="G28" s="8" t="s">
        <v>32</v>
      </c>
      <c r="H28" s="13">
        <v>10.5416666666667</v>
      </c>
      <c r="I28" s="8" t="s">
        <v>456</v>
      </c>
      <c r="J28" s="8" t="s">
        <v>457</v>
      </c>
      <c r="K28" s="8" t="s">
        <v>200</v>
      </c>
      <c r="L28" s="8" t="s">
        <v>201</v>
      </c>
      <c r="M28" s="8">
        <v>2000</v>
      </c>
      <c r="N28" s="8" t="s">
        <v>1258</v>
      </c>
      <c r="O28" s="11">
        <v>2000</v>
      </c>
      <c r="P28" s="8" t="s">
        <v>66</v>
      </c>
      <c r="Q28" s="8" t="s">
        <v>13</v>
      </c>
      <c r="R28" s="8" t="s">
        <v>1732</v>
      </c>
      <c r="S28" s="8" t="s">
        <v>1733</v>
      </c>
      <c r="T28" s="8" t="s">
        <v>1733</v>
      </c>
      <c r="U28" s="8">
        <v>121.409747800067</v>
      </c>
      <c r="V28" s="8">
        <v>31.2182029524151</v>
      </c>
      <c r="W28" s="8"/>
      <c r="X28" s="15">
        <v>3.66</v>
      </c>
      <c r="Z28" s="15"/>
    </row>
    <row r="29" spans="1:26">
      <c r="A29" s="8">
        <v>4266</v>
      </c>
      <c r="B29" s="9">
        <v>44774</v>
      </c>
      <c r="C29" s="8" t="s">
        <v>1734</v>
      </c>
      <c r="D29" s="8">
        <v>121.450045802</v>
      </c>
      <c r="E29" s="8">
        <v>31.2551927343</v>
      </c>
      <c r="F29" s="8" t="s">
        <v>1467</v>
      </c>
      <c r="G29" s="8" t="s">
        <v>21</v>
      </c>
      <c r="H29" s="13">
        <v>6.6</v>
      </c>
      <c r="I29" s="8" t="s">
        <v>238</v>
      </c>
      <c r="J29" s="8" t="s">
        <v>239</v>
      </c>
      <c r="K29" s="8" t="s">
        <v>200</v>
      </c>
      <c r="L29" s="8" t="s">
        <v>201</v>
      </c>
      <c r="M29" s="8">
        <v>500</v>
      </c>
      <c r="N29" s="8" t="s">
        <v>1258</v>
      </c>
      <c r="O29" s="11">
        <v>500</v>
      </c>
      <c r="P29" s="8" t="s">
        <v>240</v>
      </c>
      <c r="Q29" s="8" t="s">
        <v>52</v>
      </c>
      <c r="R29" s="8" t="s">
        <v>1735</v>
      </c>
      <c r="S29" s="8" t="s">
        <v>1736</v>
      </c>
      <c r="T29" s="8" t="s">
        <v>1736</v>
      </c>
      <c r="U29" s="8">
        <v>121.403985432889</v>
      </c>
      <c r="V29" s="8">
        <v>31.2116030531123</v>
      </c>
      <c r="W29" s="8"/>
      <c r="X29" s="15">
        <v>8.78</v>
      </c>
      <c r="Z29" s="15"/>
    </row>
    <row r="30" spans="1:26">
      <c r="A30" s="8">
        <v>4333</v>
      </c>
      <c r="B30" s="9">
        <v>44788</v>
      </c>
      <c r="C30" s="8" t="s">
        <v>1737</v>
      </c>
      <c r="D30" s="8">
        <v>121.475059396253</v>
      </c>
      <c r="E30" s="8">
        <v>31.2447779044237</v>
      </c>
      <c r="F30" s="8" t="s">
        <v>1529</v>
      </c>
      <c r="G30" s="8" t="s">
        <v>21</v>
      </c>
      <c r="H30" s="13">
        <v>8.25</v>
      </c>
      <c r="I30" s="8" t="s">
        <v>1041</v>
      </c>
      <c r="J30" s="8" t="s">
        <v>314</v>
      </c>
      <c r="K30" s="8" t="s">
        <v>200</v>
      </c>
      <c r="L30" s="8" t="s">
        <v>201</v>
      </c>
      <c r="M30" s="8">
        <v>4400</v>
      </c>
      <c r="N30" s="8" t="s">
        <v>1258</v>
      </c>
      <c r="O30" s="11">
        <v>4400</v>
      </c>
      <c r="P30" s="8" t="s">
        <v>66</v>
      </c>
      <c r="Q30" s="8" t="s">
        <v>52</v>
      </c>
      <c r="R30" s="8" t="s">
        <v>1738</v>
      </c>
      <c r="S30" s="8" t="s">
        <v>442</v>
      </c>
      <c r="T30" s="8" t="s">
        <v>442</v>
      </c>
      <c r="U30" s="8">
        <v>121.440152275549</v>
      </c>
      <c r="V30" s="8">
        <v>31.2233931202403</v>
      </c>
      <c r="W30" s="8"/>
      <c r="X30" s="15">
        <v>4.795</v>
      </c>
      <c r="Z30" s="15"/>
    </row>
    <row r="31" spans="1:26">
      <c r="A31" s="8">
        <v>4451</v>
      </c>
      <c r="B31" s="9">
        <v>44835</v>
      </c>
      <c r="C31" s="8" t="s">
        <v>988</v>
      </c>
      <c r="D31" s="8">
        <v>121.4802183</v>
      </c>
      <c r="E31" s="8">
        <v>31.25359156</v>
      </c>
      <c r="F31" s="8" t="s">
        <v>1739</v>
      </c>
      <c r="G31" s="8" t="s">
        <v>21</v>
      </c>
      <c r="H31" s="13">
        <v>6.41666666666667</v>
      </c>
      <c r="I31" s="8" t="s">
        <v>989</v>
      </c>
      <c r="J31" s="8" t="s">
        <v>444</v>
      </c>
      <c r="K31" s="8" t="s">
        <v>200</v>
      </c>
      <c r="L31" s="8" t="s">
        <v>201</v>
      </c>
      <c r="M31" s="8">
        <v>500</v>
      </c>
      <c r="N31" s="8" t="s">
        <v>1258</v>
      </c>
      <c r="O31" s="11">
        <v>500</v>
      </c>
      <c r="P31" s="8" t="s">
        <v>51</v>
      </c>
      <c r="Q31" s="8" t="s">
        <v>13</v>
      </c>
      <c r="R31" s="8" t="s">
        <v>1740</v>
      </c>
      <c r="S31" s="8" t="s">
        <v>1741</v>
      </c>
      <c r="T31" s="8" t="s">
        <v>1741</v>
      </c>
      <c r="U31" s="8">
        <v>121.451407596432</v>
      </c>
      <c r="V31" s="8">
        <v>30.9571100274956</v>
      </c>
      <c r="W31" s="8"/>
      <c r="X31" s="15">
        <v>40.25</v>
      </c>
      <c r="Z31" s="15"/>
    </row>
    <row r="32" spans="1:26">
      <c r="A32" s="8">
        <v>5983</v>
      </c>
      <c r="B32" s="9">
        <v>45352</v>
      </c>
      <c r="C32" s="8" t="s">
        <v>442</v>
      </c>
      <c r="D32" s="8">
        <v>121.4402698</v>
      </c>
      <c r="E32" s="8">
        <v>31.22348451</v>
      </c>
      <c r="F32" s="8" t="s">
        <v>1293</v>
      </c>
      <c r="G32" s="8" t="s">
        <v>32</v>
      </c>
      <c r="H32" s="10">
        <v>8.02777777777778</v>
      </c>
      <c r="I32" s="8" t="s">
        <v>449</v>
      </c>
      <c r="J32" s="8" t="s">
        <v>199</v>
      </c>
      <c r="K32" s="8" t="s">
        <v>200</v>
      </c>
      <c r="L32" s="8" t="s">
        <v>201</v>
      </c>
      <c r="M32" s="8">
        <v>475</v>
      </c>
      <c r="N32" s="8"/>
      <c r="O32" s="11">
        <v>475</v>
      </c>
      <c r="P32" s="8" t="s">
        <v>43</v>
      </c>
      <c r="Q32" s="8" t="s">
        <v>13</v>
      </c>
      <c r="R32" s="8" t="s">
        <v>1742</v>
      </c>
      <c r="S32" s="8" t="s">
        <v>1743</v>
      </c>
      <c r="T32" s="8" t="s">
        <v>1600</v>
      </c>
      <c r="U32" s="8">
        <v>121.452284450446</v>
      </c>
      <c r="V32" s="8">
        <v>31.230965551168</v>
      </c>
      <c r="W32" s="8"/>
      <c r="X32" s="15">
        <v>1.855</v>
      </c>
      <c r="Z32" s="15"/>
    </row>
    <row r="33" spans="1:27">
      <c r="A33" s="8">
        <v>5934</v>
      </c>
      <c r="B33" s="9">
        <v>45444</v>
      </c>
      <c r="C33" s="8" t="s">
        <v>924</v>
      </c>
      <c r="D33" s="8">
        <v>121.4331372</v>
      </c>
      <c r="E33" s="8">
        <v>31.1968013</v>
      </c>
      <c r="F33" s="8" t="s">
        <v>1436</v>
      </c>
      <c r="G33" s="8" t="s">
        <v>32</v>
      </c>
      <c r="H33" s="10">
        <v>6.96</v>
      </c>
      <c r="I33" s="8" t="s">
        <v>925</v>
      </c>
      <c r="J33" s="8" t="s">
        <v>199</v>
      </c>
      <c r="K33" s="8" t="s">
        <v>200</v>
      </c>
      <c r="L33" s="8" t="s">
        <v>201</v>
      </c>
      <c r="M33" s="8">
        <v>1676.67</v>
      </c>
      <c r="N33" s="8"/>
      <c r="O33" s="11">
        <v>1676.67</v>
      </c>
      <c r="P33" s="8" t="s">
        <v>926</v>
      </c>
      <c r="Q33" s="8" t="s">
        <v>13</v>
      </c>
      <c r="R33" s="8" t="s">
        <v>1744</v>
      </c>
      <c r="S33" s="8" t="s">
        <v>1745</v>
      </c>
      <c r="T33" s="8" t="s">
        <v>1745</v>
      </c>
      <c r="U33" s="8">
        <v>121.426964533772</v>
      </c>
      <c r="V33" s="8">
        <v>31.1878136356701</v>
      </c>
      <c r="W33" s="8"/>
      <c r="X33" s="15">
        <v>1.875</v>
      </c>
      <c r="Z33" s="15"/>
    </row>
    <row r="34" spans="1:27">
      <c r="A34" s="8">
        <v>5897</v>
      </c>
      <c r="B34" s="9">
        <v>45444</v>
      </c>
      <c r="C34" s="8" t="s">
        <v>462</v>
      </c>
      <c r="D34" s="8">
        <v>121.4358335038</v>
      </c>
      <c r="E34" s="8">
        <v>31.2431872063</v>
      </c>
      <c r="F34" s="8" t="s">
        <v>1543</v>
      </c>
      <c r="G34" s="8" t="s">
        <v>21</v>
      </c>
      <c r="H34" s="10">
        <v>6.31111111111111</v>
      </c>
      <c r="I34" s="8" t="s">
        <v>1226</v>
      </c>
      <c r="J34" s="8" t="s">
        <v>564</v>
      </c>
      <c r="K34" s="8" t="s">
        <v>200</v>
      </c>
      <c r="L34" s="8" t="s">
        <v>201</v>
      </c>
      <c r="M34" s="8">
        <v>840</v>
      </c>
      <c r="N34" s="8"/>
      <c r="O34" s="11">
        <v>840</v>
      </c>
      <c r="P34" s="8" t="s">
        <v>51</v>
      </c>
      <c r="Q34" s="8" t="s">
        <v>13</v>
      </c>
      <c r="R34" s="8" t="s">
        <v>1746</v>
      </c>
      <c r="S34" s="8" t="s">
        <v>1747</v>
      </c>
      <c r="T34" s="8" t="s">
        <v>1747</v>
      </c>
      <c r="U34" s="8">
        <v>121.447035812331</v>
      </c>
      <c r="V34" s="8">
        <v>31.2422489450195</v>
      </c>
      <c r="W34" s="8"/>
      <c r="X34" s="15">
        <v>1.395</v>
      </c>
      <c r="Z34" s="15"/>
    </row>
    <row r="35" ht="28" spans="1:27">
      <c r="A35" s="8">
        <v>5946</v>
      </c>
      <c r="B35" s="9">
        <v>45444</v>
      </c>
      <c r="C35" s="8" t="s">
        <v>689</v>
      </c>
      <c r="D35" s="8">
        <v>121.4824154</v>
      </c>
      <c r="E35" s="8">
        <v>31.25529534</v>
      </c>
      <c r="F35" s="8" t="s">
        <v>1739</v>
      </c>
      <c r="G35" s="8" t="s">
        <v>21</v>
      </c>
      <c r="H35" s="10">
        <v>5.95833333333333</v>
      </c>
      <c r="I35" s="8" t="s">
        <v>690</v>
      </c>
      <c r="J35" s="8" t="s">
        <v>239</v>
      </c>
      <c r="K35" s="8" t="s">
        <v>200</v>
      </c>
      <c r="L35" s="8" t="s">
        <v>201</v>
      </c>
      <c r="M35" s="8">
        <v>311.5</v>
      </c>
      <c r="N35" s="8"/>
      <c r="O35" s="11">
        <v>311.5</v>
      </c>
      <c r="P35" s="8" t="s">
        <v>26</v>
      </c>
      <c r="Q35" s="8" t="s">
        <v>52</v>
      </c>
      <c r="R35" s="8" t="s">
        <v>1742</v>
      </c>
      <c r="S35" s="17" t="s">
        <v>1748</v>
      </c>
      <c r="T35" s="17" t="s">
        <v>1599</v>
      </c>
      <c r="U35" s="8">
        <v>121.452284450446</v>
      </c>
      <c r="V35" s="8">
        <v>31.230965551168</v>
      </c>
      <c r="W35" s="8"/>
      <c r="X35" s="15">
        <v>5.145</v>
      </c>
      <c r="Z35" s="15"/>
    </row>
    <row r="36" spans="1:27">
      <c r="A36" s="8">
        <v>5956</v>
      </c>
      <c r="B36" s="9">
        <v>45445</v>
      </c>
      <c r="C36" s="8" t="s">
        <v>229</v>
      </c>
      <c r="D36" s="8">
        <v>121.4896233</v>
      </c>
      <c r="E36" s="8">
        <v>31.23218777</v>
      </c>
      <c r="F36" s="8" t="s">
        <v>1372</v>
      </c>
      <c r="G36" s="8" t="s">
        <v>32</v>
      </c>
      <c r="H36" s="13">
        <v>6.41666666666667</v>
      </c>
      <c r="I36" s="8" t="s">
        <v>736</v>
      </c>
      <c r="J36" s="8" t="s">
        <v>444</v>
      </c>
      <c r="K36" s="8" t="s">
        <v>200</v>
      </c>
      <c r="L36" s="8" t="s">
        <v>201</v>
      </c>
      <c r="M36" s="8">
        <v>2500</v>
      </c>
      <c r="N36" s="8"/>
      <c r="O36" s="11">
        <v>2500</v>
      </c>
      <c r="P36" s="8" t="s">
        <v>26</v>
      </c>
      <c r="Q36" s="8" t="s">
        <v>13</v>
      </c>
      <c r="R36" s="8" t="s">
        <v>1749</v>
      </c>
      <c r="S36" s="8" t="s">
        <v>1750</v>
      </c>
      <c r="T36" s="8" t="s">
        <v>1750</v>
      </c>
      <c r="U36" s="8">
        <v>121.434039791664</v>
      </c>
      <c r="V36" s="8">
        <v>31.2801824305115</v>
      </c>
      <c r="W36" s="8"/>
      <c r="X36" s="15">
        <v>9.805</v>
      </c>
      <c r="Z36" s="15"/>
    </row>
    <row r="37" spans="1:27">
      <c r="A37" s="8">
        <v>5969</v>
      </c>
      <c r="B37" s="9">
        <v>45477</v>
      </c>
      <c r="C37" s="8" t="s">
        <v>462</v>
      </c>
      <c r="D37" s="8">
        <v>121.4358335038</v>
      </c>
      <c r="E37" s="8">
        <v>31.2431872063</v>
      </c>
      <c r="F37" s="8" t="s">
        <v>1543</v>
      </c>
      <c r="G37" s="8" t="s">
        <v>21</v>
      </c>
      <c r="H37" s="13">
        <v>5.31666666666667</v>
      </c>
      <c r="I37" s="8" t="s">
        <v>1240</v>
      </c>
      <c r="J37" s="8" t="s">
        <v>564</v>
      </c>
      <c r="K37" s="8" t="s">
        <v>200</v>
      </c>
      <c r="L37" s="8" t="s">
        <v>201</v>
      </c>
      <c r="M37" s="8">
        <v>1535</v>
      </c>
      <c r="N37" s="8"/>
      <c r="O37" s="11">
        <v>1535</v>
      </c>
      <c r="P37" s="8" t="s">
        <v>51</v>
      </c>
      <c r="Q37" s="8" t="s">
        <v>13</v>
      </c>
      <c r="R37" s="8" t="s">
        <v>1751</v>
      </c>
      <c r="S37" s="8" t="s">
        <v>1752</v>
      </c>
      <c r="T37" s="8" t="s">
        <v>1752</v>
      </c>
      <c r="U37" s="8">
        <v>121.417082595933</v>
      </c>
      <c r="V37" s="8">
        <v>31.1886455021466</v>
      </c>
      <c r="W37" s="8"/>
      <c r="X37" s="15">
        <v>8.41</v>
      </c>
      <c r="Z37" s="15"/>
    </row>
    <row r="38" spans="1:27">
      <c r="A38" s="8">
        <v>6017</v>
      </c>
      <c r="B38" s="9">
        <v>45489</v>
      </c>
      <c r="C38" s="8" t="s">
        <v>566</v>
      </c>
      <c r="D38" s="8">
        <v>121.4772355</v>
      </c>
      <c r="E38" s="8">
        <v>31.15562848</v>
      </c>
      <c r="F38" s="8" t="s">
        <v>1300</v>
      </c>
      <c r="G38" s="8" t="s">
        <v>21</v>
      </c>
      <c r="H38" s="13">
        <v>10.0833333333333</v>
      </c>
      <c r="I38" s="8" t="s">
        <v>572</v>
      </c>
      <c r="J38" s="8" t="s">
        <v>444</v>
      </c>
      <c r="K38" s="8" t="s">
        <v>200</v>
      </c>
      <c r="L38" s="8" t="s">
        <v>201</v>
      </c>
      <c r="M38" s="8">
        <v>1000</v>
      </c>
      <c r="N38" s="8"/>
      <c r="O38" s="11">
        <v>1000</v>
      </c>
      <c r="P38" s="8" t="s">
        <v>26</v>
      </c>
      <c r="Q38" s="8" t="s">
        <v>52</v>
      </c>
      <c r="R38" s="8" t="s">
        <v>1753</v>
      </c>
      <c r="S38" s="8" t="s">
        <v>1754</v>
      </c>
      <c r="T38" s="8" t="s">
        <v>1754</v>
      </c>
      <c r="U38" s="8">
        <v>121.451438294275</v>
      </c>
      <c r="V38" s="8">
        <v>31.2179737408508</v>
      </c>
      <c r="W38" s="8"/>
      <c r="X38" s="15">
        <v>10.01</v>
      </c>
      <c r="Z38" s="15"/>
    </row>
    <row r="39" spans="1:27">
      <c r="A39" s="8">
        <v>6013</v>
      </c>
      <c r="B39" s="9">
        <v>45495</v>
      </c>
      <c r="C39" s="8" t="s">
        <v>693</v>
      </c>
      <c r="D39" s="8">
        <v>121.4517234</v>
      </c>
      <c r="E39" s="8">
        <v>31.23300198</v>
      </c>
      <c r="F39" s="8" t="s">
        <v>1293</v>
      </c>
      <c r="G39" s="8" t="s">
        <v>32</v>
      </c>
      <c r="H39" s="13">
        <v>7.33333333333333</v>
      </c>
      <c r="I39" s="8" t="s">
        <v>698</v>
      </c>
      <c r="J39" s="8" t="s">
        <v>699</v>
      </c>
      <c r="K39" s="8" t="s">
        <v>200</v>
      </c>
      <c r="L39" s="8" t="s">
        <v>201</v>
      </c>
      <c r="M39" s="8">
        <v>800</v>
      </c>
      <c r="N39" s="8"/>
      <c r="O39" s="11">
        <v>800</v>
      </c>
      <c r="P39" s="8" t="s">
        <v>26</v>
      </c>
      <c r="Q39" s="8" t="s">
        <v>13</v>
      </c>
      <c r="R39" s="8" t="s">
        <v>1755</v>
      </c>
      <c r="S39" s="8" t="s">
        <v>1756</v>
      </c>
      <c r="T39" s="8" t="s">
        <v>1756</v>
      </c>
      <c r="U39" s="8">
        <v>121.483984655649</v>
      </c>
      <c r="V39" s="8">
        <v>31.2097259648785</v>
      </c>
      <c r="W39" s="8"/>
      <c r="X39" s="15">
        <v>5.755</v>
      </c>
      <c r="Z39" s="15"/>
    </row>
    <row r="40" spans="1:27">
      <c r="A40" s="8">
        <v>6119</v>
      </c>
      <c r="B40" s="9">
        <v>45505</v>
      </c>
      <c r="C40" s="8" t="s">
        <v>1000</v>
      </c>
      <c r="D40" s="8">
        <v>121.39830225</v>
      </c>
      <c r="E40" s="8">
        <v>31.20878058</v>
      </c>
      <c r="F40" s="8" t="s">
        <v>1565</v>
      </c>
      <c r="G40" s="8" t="s">
        <v>32</v>
      </c>
      <c r="H40" s="13">
        <v>6.6</v>
      </c>
      <c r="I40" s="8" t="s">
        <v>1007</v>
      </c>
      <c r="J40" s="8" t="s">
        <v>199</v>
      </c>
      <c r="K40" s="8" t="s">
        <v>200</v>
      </c>
      <c r="L40" s="8" t="s">
        <v>201</v>
      </c>
      <c r="M40" s="8">
        <v>3200</v>
      </c>
      <c r="N40" s="8"/>
      <c r="O40" s="11">
        <v>3200</v>
      </c>
      <c r="P40" s="8" t="s">
        <v>43</v>
      </c>
      <c r="Q40" s="8" t="s">
        <v>13</v>
      </c>
      <c r="R40" s="8" t="s">
        <v>1757</v>
      </c>
      <c r="S40" s="8" t="s">
        <v>1758</v>
      </c>
      <c r="T40" s="8" t="s">
        <v>1758</v>
      </c>
      <c r="U40" s="8">
        <v>121.319428483967</v>
      </c>
      <c r="V40" s="8">
        <v>31.2077747273143</v>
      </c>
      <c r="W40" s="8"/>
      <c r="X40" s="15">
        <v>9.205</v>
      </c>
      <c r="Z40" s="15"/>
    </row>
    <row r="41" spans="1:27">
      <c r="A41" s="8">
        <v>6070</v>
      </c>
      <c r="B41" s="9">
        <v>45505</v>
      </c>
      <c r="C41" s="8" t="s">
        <v>1094</v>
      </c>
      <c r="D41" s="8">
        <v>121.531151</v>
      </c>
      <c r="E41" s="8">
        <v>31.22533848</v>
      </c>
      <c r="F41" s="8" t="s">
        <v>1257</v>
      </c>
      <c r="G41" s="8" t="s">
        <v>32</v>
      </c>
      <c r="H41" s="13">
        <v>6.875</v>
      </c>
      <c r="I41" s="8" t="s">
        <v>1095</v>
      </c>
      <c r="J41" s="8" t="s">
        <v>199</v>
      </c>
      <c r="K41" s="8" t="s">
        <v>200</v>
      </c>
      <c r="L41" s="8" t="s">
        <v>201</v>
      </c>
      <c r="M41" s="8">
        <v>1100</v>
      </c>
      <c r="N41" s="8"/>
      <c r="O41" s="11">
        <v>1100</v>
      </c>
      <c r="P41" s="8" t="s">
        <v>26</v>
      </c>
      <c r="Q41" s="8" t="s">
        <v>13</v>
      </c>
      <c r="R41" s="8" t="s">
        <v>1759</v>
      </c>
      <c r="S41" s="8" t="s">
        <v>1448</v>
      </c>
      <c r="T41" s="8" t="s">
        <v>1448</v>
      </c>
      <c r="U41" s="8">
        <v>121.49464673307</v>
      </c>
      <c r="V41" s="8">
        <v>31.2412267754945</v>
      </c>
      <c r="W41" s="8"/>
      <c r="X41" s="15">
        <v>0.78</v>
      </c>
      <c r="Z41" s="15"/>
    </row>
    <row r="42" spans="1:27">
      <c r="A42" s="8">
        <v>6077</v>
      </c>
      <c r="B42" s="9">
        <v>45505</v>
      </c>
      <c r="C42" s="8" t="s">
        <v>693</v>
      </c>
      <c r="D42" s="8">
        <v>121.4517234</v>
      </c>
      <c r="E42" s="8">
        <v>31.23300198</v>
      </c>
      <c r="F42" s="8" t="s">
        <v>1293</v>
      </c>
      <c r="G42" s="8" t="s">
        <v>32</v>
      </c>
      <c r="H42" s="13">
        <v>7.33333333333333</v>
      </c>
      <c r="I42" s="8" t="s">
        <v>694</v>
      </c>
      <c r="J42" s="8" t="s">
        <v>695</v>
      </c>
      <c r="K42" s="8" t="s">
        <v>200</v>
      </c>
      <c r="L42" s="8" t="s">
        <v>201</v>
      </c>
      <c r="M42" s="8">
        <v>200</v>
      </c>
      <c r="N42" s="8"/>
      <c r="O42" s="11">
        <v>200</v>
      </c>
      <c r="P42" s="8" t="s">
        <v>26</v>
      </c>
      <c r="Q42" s="8" t="s">
        <v>13</v>
      </c>
      <c r="R42" s="8" t="s">
        <v>1742</v>
      </c>
      <c r="S42" s="8" t="s">
        <v>1743</v>
      </c>
      <c r="T42" s="8" t="s">
        <v>1600</v>
      </c>
      <c r="U42" s="8">
        <v>121.452284450446</v>
      </c>
      <c r="V42" s="8">
        <v>31.230965551168</v>
      </c>
      <c r="W42" s="8"/>
      <c r="X42" s="15">
        <v>1.03</v>
      </c>
      <c r="Z42" s="15"/>
    </row>
    <row r="43" spans="1:27">
      <c r="H43" s="20" t="s">
        <v>1476</v>
      </c>
      <c r="I43" s="21"/>
      <c r="J43" s="21"/>
    </row>
    <row r="44" spans="1:27">
      <c r="H44" s="22" t="s">
        <v>1477</v>
      </c>
      <c r="I44" s="21">
        <f>COUNTIF($H$2:$H$42,"&lt;=5")</f>
        <v>5</v>
      </c>
      <c r="J44" s="23">
        <f>I44/41</f>
        <v>0.121951219512195</v>
      </c>
      <c r="R44" t="s">
        <v>13</v>
      </c>
      <c r="S44" t="s">
        <v>1478</v>
      </c>
      <c r="T44" t="s">
        <v>1479</v>
      </c>
      <c r="Y44" s="24" t="s">
        <v>1480</v>
      </c>
      <c r="Z44" s="25">
        <f>COUNTIF($X$2:$X$42,"&lt;2")</f>
        <v>14</v>
      </c>
      <c r="AA44" s="26">
        <f>Z44/$Z$54</f>
        <v>0.341463414634146</v>
      </c>
    </row>
    <row r="45" spans="1:27">
      <c r="H45" s="22" t="s">
        <v>1481</v>
      </c>
      <c r="I45" s="21">
        <f>COUNTIF($H$2:$H$42,"&gt;=5")-COUNTIF($H$2:$H$42,"&gt;=7")</f>
        <v>16</v>
      </c>
      <c r="J45" s="23">
        <f>I45/41</f>
        <v>0.390243902439024</v>
      </c>
      <c r="R45" t="s">
        <v>13</v>
      </c>
      <c r="S45">
        <v>27</v>
      </c>
      <c r="T45" s="29">
        <f>S45/S46</f>
        <v>0.658536585365854</v>
      </c>
      <c r="Y45" s="24" t="s">
        <v>1482</v>
      </c>
      <c r="Z45" s="24">
        <f>COUNTIF($X$2:$X$42,"&gt;=2")-COUNTIF($X$2:$X$42,"&gt;=4")</f>
        <v>6</v>
      </c>
      <c r="AA45" s="26">
        <f t="shared" ref="AA45:AA53" si="0">Z45/$Z$54</f>
        <v>0.146341463414634</v>
      </c>
    </row>
    <row r="46" spans="1:27">
      <c r="H46" s="22" t="s">
        <v>1483</v>
      </c>
      <c r="I46" s="21">
        <f>COUNTIF($H$2:$H$42,"&gt;=7")-COUNTIF($H$2:$H$42,"&gt;=9")</f>
        <v>10</v>
      </c>
      <c r="J46" s="23">
        <f>I46/41</f>
        <v>0.24390243902439</v>
      </c>
      <c r="S46">
        <v>41</v>
      </c>
      <c r="Y46" s="24" t="s">
        <v>1484</v>
      </c>
      <c r="Z46" s="24">
        <f>COUNTIF($X$2:$X$42,"&gt;=4")-COUNTIF($X$2:$X$42,"&gt;=6")</f>
        <v>10</v>
      </c>
      <c r="AA46" s="26">
        <f t="shared" si="0"/>
        <v>0.24390243902439</v>
      </c>
    </row>
    <row r="47" spans="1:27">
      <c r="H47" s="22" t="s">
        <v>1485</v>
      </c>
      <c r="I47" s="21">
        <f>COUNTIF($H$2:$H$42,"&gt;=9")-COUNTIF($H$2:$H$42,"&gt;=11")</f>
        <v>6</v>
      </c>
      <c r="J47" s="23">
        <f>I47/41</f>
        <v>0.146341463414634</v>
      </c>
      <c r="Y47" s="24" t="s">
        <v>1486</v>
      </c>
      <c r="Z47" s="24">
        <f>COUNTIF($X$2:$X$42,"&gt;=6")-COUNTIF($X$2:$X$42,"&gt;=8")</f>
        <v>2</v>
      </c>
      <c r="AA47" s="26">
        <f t="shared" si="0"/>
        <v>0.0487804878048781</v>
      </c>
    </row>
    <row r="48" ht="14.5" spans="1:27">
      <c r="H48" s="22" t="s">
        <v>1487</v>
      </c>
      <c r="I48" s="21">
        <f>COUNTIF($H$2:$H$42,"&gt;=11")</f>
        <v>4</v>
      </c>
      <c r="J48" s="23">
        <f>I48/41</f>
        <v>0.0975609756097561</v>
      </c>
      <c r="R48" t="s">
        <v>1490</v>
      </c>
      <c r="S48" s="26">
        <f>S45/477</f>
        <v>0.0566037735849057</v>
      </c>
      <c r="Y48" s="24" t="s">
        <v>1488</v>
      </c>
      <c r="Z48" s="24">
        <f>COUNTIF($X$2:$X$42,"&gt;=8")-COUNTIF($X$2:$X$42,"&gt;=10")</f>
        <v>4</v>
      </c>
      <c r="AA48" s="26">
        <f t="shared" si="0"/>
        <v>0.0975609756097561</v>
      </c>
    </row>
    <row r="49" spans="9:27">
      <c r="I49">
        <f>SUM(I44:I48)</f>
        <v>41</v>
      </c>
      <c r="J49">
        <f>SUM(J44:J48)</f>
        <v>1</v>
      </c>
      <c r="Y49" s="24" t="s">
        <v>1489</v>
      </c>
      <c r="Z49" s="24">
        <f>COUNTIF($X$2:$X$42,"&gt;=10")-COUNTIF($X$2:$X$42,"&gt;=12")</f>
        <v>2</v>
      </c>
      <c r="AA49" s="26">
        <f t="shared" si="0"/>
        <v>0.0487804878048781</v>
      </c>
    </row>
    <row r="50" spans="9:27">
      <c r="Y50" s="24" t="s">
        <v>1491</v>
      </c>
      <c r="Z50" s="24">
        <f>COUNTIF($X$2:$X$42,"&gt;=12")-COUNTIF($X$2:$X$42,"&gt;=14")</f>
        <v>1</v>
      </c>
      <c r="AA50" s="26">
        <f t="shared" si="0"/>
        <v>0.024390243902439</v>
      </c>
    </row>
    <row r="51" spans="9:27">
      <c r="Y51" s="24" t="s">
        <v>1492</v>
      </c>
      <c r="Z51" s="24">
        <f>COUNTIF($X$2:$X$42,"&gt;=14")-COUNTIF($X$2:$X$42,"&gt;=16")</f>
        <v>1</v>
      </c>
      <c r="AA51" s="26">
        <f t="shared" si="0"/>
        <v>0.024390243902439</v>
      </c>
    </row>
    <row r="52" spans="9:27">
      <c r="Y52" s="24" t="s">
        <v>1493</v>
      </c>
      <c r="Z52" s="24">
        <f>COUNTIF($X$2:$X$42,"&gt;=16")-COUNTIF($X$2:$X$42,"&gt;=18")</f>
        <v>0</v>
      </c>
      <c r="AA52" s="26">
        <f t="shared" si="0"/>
        <v>0</v>
      </c>
    </row>
    <row r="53" spans="9:27">
      <c r="Y53" s="24" t="s">
        <v>1494</v>
      </c>
      <c r="Z53" s="24">
        <f>COUNTIF($X$2:$X$42,"&gt;=18")</f>
        <v>1</v>
      </c>
      <c r="AA53" s="26">
        <f t="shared" si="0"/>
        <v>0.024390243902439</v>
      </c>
    </row>
    <row r="54" spans="9:27">
      <c r="Z54">
        <f>SUM(Z44:Z53)</f>
        <v>41</v>
      </c>
      <c r="AA54">
        <f>SUM(AA44:AA53)</f>
        <v>1</v>
      </c>
    </row>
  </sheetData>
  <autoFilter xmlns:etc="http://www.wps.cn/officeDocument/2017/etCustomData" ref="A1:X49" etc:filterBottomFollowUsedRange="0">
    <extLst/>
  </autoFilter>
  <conditionalFormatting sqref="A2:A3 A4 A5 A6 A7 A8 A9 A10 A11 A12 A13 A14 A15 A16 A17 A18 A19 A20 A21 A22 A23 A24 A25 A26 A27:A28 A29 A30 A31 A32 A33 A34 A35:A36 A37 A38 A39 A40 A41 A42">
    <cfRule type="duplicateValues" dxfId="0" priority="2"/>
  </conditionalFormatting>
  <conditionalFormatting sqref="I2:I3 I4 I5 I6 I7 I8 I9 I10 I11 I12 I13 I14 I15 I16 I17 I18 I19 I20 I21 I22 I23 I24 I25 I26 I27:I28 I29 I30 I31 I32 I33 I34 I35:I36 I37 I38 I39 I40 I41 I42">
    <cfRule type="duplicateValues" dxfId="0" priority="1"/>
  </conditionalFormatting>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89"/>
  <sheetViews>
    <sheetView workbookViewId="0">
      <selection activeCell="F33" sqref="F33"/>
    </sheetView>
  </sheetViews>
  <sheetFormatPr defaultColWidth="8.63333333333333" defaultRowHeight="14"/>
  <sheetData>
    <row r="1" s="1" customFormat="1" ht="70" spans="1:52 16365:16384">
      <c r="A1" s="2" t="s">
        <v>1244</v>
      </c>
      <c r="B1" s="3" t="s">
        <v>1245</v>
      </c>
      <c r="C1" s="4" t="s">
        <v>1</v>
      </c>
      <c r="D1" s="5" t="s">
        <v>1246</v>
      </c>
      <c r="E1" s="5" t="s">
        <v>1247</v>
      </c>
      <c r="F1" s="4" t="s">
        <v>1248</v>
      </c>
      <c r="G1" s="4" t="s">
        <v>4</v>
      </c>
      <c r="H1" s="4" t="s">
        <v>5</v>
      </c>
      <c r="I1" s="6" t="s">
        <v>6</v>
      </c>
      <c r="J1" s="6" t="s">
        <v>7</v>
      </c>
      <c r="K1" s="6" t="s">
        <v>8</v>
      </c>
      <c r="L1" s="6" t="s">
        <v>9</v>
      </c>
      <c r="M1" s="4" t="s">
        <v>10</v>
      </c>
      <c r="N1" s="4" t="s">
        <v>1249</v>
      </c>
      <c r="O1" s="4" t="s">
        <v>11</v>
      </c>
      <c r="P1" s="4" t="s">
        <v>12</v>
      </c>
      <c r="Q1" s="6" t="s">
        <v>13</v>
      </c>
      <c r="R1" s="4" t="s">
        <v>1250</v>
      </c>
      <c r="S1" s="4" t="s">
        <v>1251</v>
      </c>
      <c r="T1" s="4" t="s">
        <v>1252</v>
      </c>
      <c r="U1" s="4" t="s">
        <v>1253</v>
      </c>
      <c r="V1" s="4" t="s">
        <v>1254</v>
      </c>
      <c r="W1" s="4" t="s">
        <v>1255</v>
      </c>
      <c r="X1" s="7" t="s">
        <v>1256</v>
      </c>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XEK1"/>
      <c r="XEL1"/>
      <c r="XEM1"/>
      <c r="XEN1"/>
      <c r="XEO1"/>
      <c r="XEP1"/>
      <c r="XEQ1"/>
      <c r="XER1"/>
      <c r="XES1"/>
      <c r="XET1"/>
      <c r="XEU1"/>
      <c r="XEV1"/>
      <c r="XEW1"/>
      <c r="XEX1"/>
      <c r="XEY1"/>
      <c r="XEZ1"/>
      <c r="XFA1"/>
      <c r="XFB1"/>
      <c r="XFC1"/>
      <c r="XFD1"/>
    </row>
    <row r="2" spans="1:52 16365:16384">
      <c r="A2" s="8">
        <v>4764</v>
      </c>
      <c r="B2" s="9">
        <v>44931</v>
      </c>
      <c r="C2" s="8" t="s">
        <v>168</v>
      </c>
      <c r="D2" s="8">
        <v>121.391503363144</v>
      </c>
      <c r="E2" s="8">
        <v>31.2447752841159</v>
      </c>
      <c r="F2" s="8" t="s">
        <v>1498</v>
      </c>
      <c r="G2" s="8" t="s">
        <v>21</v>
      </c>
      <c r="H2" s="13">
        <v>3.94166666666667</v>
      </c>
      <c r="I2" s="8" t="s">
        <v>504</v>
      </c>
      <c r="J2" s="8" t="s">
        <v>109</v>
      </c>
      <c r="K2" s="8" t="s">
        <v>87</v>
      </c>
      <c r="L2" s="8" t="s">
        <v>88</v>
      </c>
      <c r="M2" s="8">
        <v>1271</v>
      </c>
      <c r="N2" s="8" t="s">
        <v>1258</v>
      </c>
      <c r="O2" s="11">
        <v>1271</v>
      </c>
      <c r="P2" s="8" t="s">
        <v>26</v>
      </c>
      <c r="Q2" s="8" t="s">
        <v>13</v>
      </c>
      <c r="R2" s="8" t="s">
        <v>1760</v>
      </c>
      <c r="S2" s="12" t="s">
        <v>1760</v>
      </c>
      <c r="T2" s="8" t="s">
        <v>1761</v>
      </c>
      <c r="U2" s="8">
        <v>121.362888473168</v>
      </c>
      <c r="V2" s="8">
        <v>31.2327505437319</v>
      </c>
      <c r="W2" s="8" t="s">
        <v>1262</v>
      </c>
      <c r="X2">
        <v>4.507</v>
      </c>
    </row>
    <row r="3" spans="1:52 16365:16384">
      <c r="A3" s="8">
        <v>4866</v>
      </c>
      <c r="B3" s="9">
        <v>44986</v>
      </c>
      <c r="C3" s="8" t="s">
        <v>731</v>
      </c>
      <c r="D3" s="8">
        <v>121.5273435</v>
      </c>
      <c r="E3" s="8">
        <v>31.22449085</v>
      </c>
      <c r="F3" s="8" t="s">
        <v>1257</v>
      </c>
      <c r="G3" s="8" t="s">
        <v>32</v>
      </c>
      <c r="H3" s="13">
        <v>6.6</v>
      </c>
      <c r="I3" s="8" t="s">
        <v>732</v>
      </c>
      <c r="J3" s="8" t="s">
        <v>86</v>
      </c>
      <c r="K3" s="8" t="s">
        <v>87</v>
      </c>
      <c r="L3" s="8" t="s">
        <v>88</v>
      </c>
      <c r="M3" s="8">
        <v>700</v>
      </c>
      <c r="N3" s="8" t="s">
        <v>1258</v>
      </c>
      <c r="O3" s="11">
        <v>700</v>
      </c>
      <c r="P3" s="8" t="s">
        <v>43</v>
      </c>
      <c r="Q3" s="8" t="s">
        <v>13</v>
      </c>
      <c r="R3" s="8" t="s">
        <v>1762</v>
      </c>
      <c r="S3" s="12" t="s">
        <v>1763</v>
      </c>
      <c r="T3" s="8" t="s">
        <v>1281</v>
      </c>
      <c r="U3" s="8">
        <v>121.41278417107</v>
      </c>
      <c r="V3" s="8">
        <v>31.178324182064</v>
      </c>
      <c r="W3" s="8" t="s">
        <v>1262</v>
      </c>
      <c r="X3">
        <v>14.791</v>
      </c>
    </row>
    <row r="4" spans="1:52 16365:16384">
      <c r="A4" s="8">
        <v>5023</v>
      </c>
      <c r="B4" s="9">
        <v>45047</v>
      </c>
      <c r="C4" s="8" t="s">
        <v>365</v>
      </c>
      <c r="D4" s="8">
        <v>121.405373946239</v>
      </c>
      <c r="E4" s="8">
        <v>31.2504417128511</v>
      </c>
      <c r="F4" s="8" t="s">
        <v>1498</v>
      </c>
      <c r="G4" s="8" t="s">
        <v>21</v>
      </c>
      <c r="H4" s="13">
        <v>4.125</v>
      </c>
      <c r="I4" s="8" t="s">
        <v>366</v>
      </c>
      <c r="J4" s="8" t="s">
        <v>367</v>
      </c>
      <c r="K4" s="8" t="s">
        <v>368</v>
      </c>
      <c r="L4" s="8" t="s">
        <v>88</v>
      </c>
      <c r="M4" s="8">
        <v>1500</v>
      </c>
      <c r="N4" s="8" t="s">
        <v>1258</v>
      </c>
      <c r="O4" s="11">
        <v>1500</v>
      </c>
      <c r="P4" s="8" t="s">
        <v>26</v>
      </c>
      <c r="Q4" s="8" t="s">
        <v>13</v>
      </c>
      <c r="R4" s="8" t="s">
        <v>1764</v>
      </c>
      <c r="S4" s="12" t="s">
        <v>1765</v>
      </c>
      <c r="T4" s="8" t="s">
        <v>1765</v>
      </c>
      <c r="U4" s="8">
        <v>121.416166604393</v>
      </c>
      <c r="V4" s="8">
        <v>31.2586515228048</v>
      </c>
      <c r="W4" s="8" t="s">
        <v>1262</v>
      </c>
      <c r="X4">
        <v>1.66</v>
      </c>
    </row>
    <row r="5" spans="1:52 16365:16384">
      <c r="A5" s="8">
        <v>5027</v>
      </c>
      <c r="B5" s="9">
        <v>45047</v>
      </c>
      <c r="C5" s="8" t="s">
        <v>1173</v>
      </c>
      <c r="D5" s="8">
        <v>121.5263015</v>
      </c>
      <c r="E5" s="8">
        <v>31.21982783</v>
      </c>
      <c r="F5" s="8" t="s">
        <v>1257</v>
      </c>
      <c r="G5" s="8" t="s">
        <v>32</v>
      </c>
      <c r="H5" s="13">
        <v>5.775</v>
      </c>
      <c r="I5" s="8" t="s">
        <v>1174</v>
      </c>
      <c r="J5" s="8" t="s">
        <v>86</v>
      </c>
      <c r="K5" s="8" t="s">
        <v>87</v>
      </c>
      <c r="L5" s="8" t="s">
        <v>88</v>
      </c>
      <c r="M5" s="8">
        <v>1500</v>
      </c>
      <c r="N5" s="8" t="s">
        <v>1258</v>
      </c>
      <c r="O5" s="11">
        <v>1500</v>
      </c>
      <c r="P5" s="8" t="s">
        <v>43</v>
      </c>
      <c r="Q5" s="8" t="s">
        <v>13</v>
      </c>
      <c r="R5" s="8" t="s">
        <v>1766</v>
      </c>
      <c r="S5" s="12" t="s">
        <v>1766</v>
      </c>
      <c r="T5" s="8" t="s">
        <v>1767</v>
      </c>
      <c r="U5" s="8">
        <v>121.546491185373</v>
      </c>
      <c r="V5" s="8">
        <v>31.2523747536013</v>
      </c>
      <c r="W5" s="8" t="s">
        <v>1262</v>
      </c>
      <c r="X5">
        <v>5.637</v>
      </c>
    </row>
    <row r="6" spans="1:52 16365:16384">
      <c r="A6" s="8">
        <v>5037</v>
      </c>
      <c r="B6" s="9">
        <v>45047</v>
      </c>
      <c r="C6" s="8" t="s">
        <v>403</v>
      </c>
      <c r="D6" s="8">
        <v>121.454154040947</v>
      </c>
      <c r="E6" s="8">
        <v>31.24878673169</v>
      </c>
      <c r="F6" s="8" t="s">
        <v>1467</v>
      </c>
      <c r="G6" s="8" t="s">
        <v>21</v>
      </c>
      <c r="H6" s="14">
        <v>4.9</v>
      </c>
      <c r="I6" s="8" t="s">
        <v>421</v>
      </c>
      <c r="J6" s="8" t="s">
        <v>367</v>
      </c>
      <c r="K6" s="8" t="s">
        <v>368</v>
      </c>
      <c r="L6" s="8" t="s">
        <v>88</v>
      </c>
      <c r="M6" s="8">
        <v>1080</v>
      </c>
      <c r="N6" s="8" t="s">
        <v>1258</v>
      </c>
      <c r="O6" s="11">
        <v>1080</v>
      </c>
      <c r="P6" s="8" t="s">
        <v>66</v>
      </c>
      <c r="Q6" s="8" t="s">
        <v>13</v>
      </c>
      <c r="R6" s="8" t="s">
        <v>1768</v>
      </c>
      <c r="S6" s="12" t="s">
        <v>1768</v>
      </c>
      <c r="T6" s="8" t="s">
        <v>1769</v>
      </c>
      <c r="U6" s="8">
        <v>121.370845117311</v>
      </c>
      <c r="V6" s="8">
        <v>31.2479212812051</v>
      </c>
      <c r="W6" s="8" t="s">
        <v>1262</v>
      </c>
      <c r="X6">
        <v>9.605</v>
      </c>
    </row>
    <row r="7" spans="1:52 16365:16384">
      <c r="A7" s="8">
        <v>5002</v>
      </c>
      <c r="B7" s="9">
        <v>45047</v>
      </c>
      <c r="C7" s="8" t="s">
        <v>168</v>
      </c>
      <c r="D7" s="8">
        <v>121.391503363144</v>
      </c>
      <c r="E7" s="8">
        <v>31.2447752841159</v>
      </c>
      <c r="F7" s="8" t="s">
        <v>1498</v>
      </c>
      <c r="G7" s="8" t="s">
        <v>21</v>
      </c>
      <c r="H7" s="10">
        <v>4.65611111111111</v>
      </c>
      <c r="I7" s="8" t="s">
        <v>493</v>
      </c>
      <c r="J7" s="8" t="s">
        <v>86</v>
      </c>
      <c r="K7" s="8" t="s">
        <v>87</v>
      </c>
      <c r="L7" s="8" t="s">
        <v>88</v>
      </c>
      <c r="M7" s="8">
        <v>355.15</v>
      </c>
      <c r="N7" s="8"/>
      <c r="O7" s="11">
        <v>355.15</v>
      </c>
      <c r="P7" s="8" t="s">
        <v>245</v>
      </c>
      <c r="Q7" s="8" t="s">
        <v>13</v>
      </c>
      <c r="R7" s="8" t="s">
        <v>1505</v>
      </c>
      <c r="S7" s="12" t="s">
        <v>1506</v>
      </c>
      <c r="T7" s="8" t="s">
        <v>1507</v>
      </c>
      <c r="U7" s="8">
        <v>121.388746402405</v>
      </c>
      <c r="V7" s="8">
        <v>31.2225015441654</v>
      </c>
      <c r="W7" s="8" t="s">
        <v>1262</v>
      </c>
      <c r="X7">
        <v>2.611</v>
      </c>
    </row>
    <row r="8" spans="1:52 16365:16384">
      <c r="A8" s="8">
        <v>5233</v>
      </c>
      <c r="B8" s="9">
        <v>45111</v>
      </c>
      <c r="C8" s="8" t="s">
        <v>708</v>
      </c>
      <c r="D8" s="8">
        <v>121.391217875558</v>
      </c>
      <c r="E8" s="8">
        <v>31.2284548414874</v>
      </c>
      <c r="F8" s="8" t="s">
        <v>1360</v>
      </c>
      <c r="G8" s="8" t="s">
        <v>21</v>
      </c>
      <c r="H8" s="13">
        <v>6.41666666666667</v>
      </c>
      <c r="I8" s="8" t="s">
        <v>713</v>
      </c>
      <c r="J8" s="8" t="s">
        <v>714</v>
      </c>
      <c r="K8" s="8" t="s">
        <v>206</v>
      </c>
      <c r="L8" s="8" t="s">
        <v>88</v>
      </c>
      <c r="M8" s="8">
        <v>4000</v>
      </c>
      <c r="N8" s="8" t="s">
        <v>1258</v>
      </c>
      <c r="O8" s="11">
        <v>4000</v>
      </c>
      <c r="P8" s="8" t="s">
        <v>51</v>
      </c>
      <c r="Q8" s="8" t="s">
        <v>13</v>
      </c>
      <c r="R8" s="8" t="s">
        <v>1770</v>
      </c>
      <c r="S8" s="12" t="s">
        <v>1771</v>
      </c>
      <c r="T8" s="8" t="s">
        <v>1772</v>
      </c>
      <c r="U8" s="8">
        <v>121.376095532792</v>
      </c>
      <c r="V8" s="8">
        <v>31.2251109076547</v>
      </c>
      <c r="W8" s="8" t="s">
        <v>1262</v>
      </c>
      <c r="X8">
        <v>2.127</v>
      </c>
    </row>
    <row r="9" spans="1:52 16365:16384">
      <c r="A9" s="8">
        <v>5243</v>
      </c>
      <c r="B9" s="9">
        <v>45121</v>
      </c>
      <c r="C9" s="8" t="s">
        <v>71</v>
      </c>
      <c r="D9" s="8">
        <v>121.455928321736</v>
      </c>
      <c r="E9" s="8">
        <v>31.163149177406</v>
      </c>
      <c r="F9" s="8" t="s">
        <v>1272</v>
      </c>
      <c r="G9" s="8" t="s">
        <v>21</v>
      </c>
      <c r="H9" s="10">
        <v>5</v>
      </c>
      <c r="I9" s="8" t="s">
        <v>887</v>
      </c>
      <c r="J9" s="8" t="s">
        <v>86</v>
      </c>
      <c r="K9" s="8" t="s">
        <v>87</v>
      </c>
      <c r="L9" s="8" t="s">
        <v>88</v>
      </c>
      <c r="M9" s="8">
        <v>2500</v>
      </c>
      <c r="N9" s="8" t="s">
        <v>1258</v>
      </c>
      <c r="O9" s="11">
        <v>2500</v>
      </c>
      <c r="P9" s="8" t="s">
        <v>43</v>
      </c>
      <c r="Q9" s="8" t="s">
        <v>13</v>
      </c>
      <c r="R9" s="8" t="s">
        <v>1773</v>
      </c>
      <c r="S9" s="12" t="s">
        <v>1774</v>
      </c>
      <c r="T9" s="8" t="s">
        <v>1775</v>
      </c>
      <c r="U9" s="8">
        <v>121.597690172663</v>
      </c>
      <c r="V9" s="8">
        <v>31.2077977260913</v>
      </c>
      <c r="W9" s="8" t="s">
        <v>1262</v>
      </c>
      <c r="X9">
        <v>16.575</v>
      </c>
    </row>
    <row r="10" spans="1:52 16365:16384">
      <c r="A10" s="8">
        <v>5259</v>
      </c>
      <c r="B10" s="9">
        <v>45138</v>
      </c>
      <c r="C10" s="8" t="s">
        <v>918</v>
      </c>
      <c r="D10" s="8">
        <v>121.415103714177</v>
      </c>
      <c r="E10" s="8">
        <v>31.2125231859109</v>
      </c>
      <c r="F10" s="8" t="s">
        <v>1286</v>
      </c>
      <c r="G10" s="8" t="s">
        <v>32</v>
      </c>
      <c r="H10" s="13">
        <v>5.95833333333333</v>
      </c>
      <c r="I10" s="8" t="s">
        <v>919</v>
      </c>
      <c r="J10" s="8" t="s">
        <v>920</v>
      </c>
      <c r="K10" s="8" t="s">
        <v>206</v>
      </c>
      <c r="L10" s="8" t="s">
        <v>88</v>
      </c>
      <c r="M10" s="8">
        <v>12000</v>
      </c>
      <c r="N10" s="8" t="s">
        <v>1258</v>
      </c>
      <c r="O10" s="11">
        <v>12000</v>
      </c>
      <c r="P10" s="8" t="s">
        <v>43</v>
      </c>
      <c r="Q10" s="8" t="s">
        <v>13</v>
      </c>
      <c r="R10" s="8" t="s">
        <v>1776</v>
      </c>
      <c r="S10" s="12" t="s">
        <v>1776</v>
      </c>
      <c r="T10" s="8" t="s">
        <v>1777</v>
      </c>
      <c r="U10" s="8">
        <v>121.479992366827</v>
      </c>
      <c r="V10" s="8">
        <v>31.3173670928849</v>
      </c>
      <c r="W10" s="8" t="s">
        <v>1262</v>
      </c>
      <c r="X10">
        <v>15.283</v>
      </c>
    </row>
    <row r="11" spans="1:52 16365:16384">
      <c r="A11" s="8">
        <v>5261</v>
      </c>
      <c r="B11" s="9">
        <v>45139</v>
      </c>
      <c r="C11" s="8" t="s">
        <v>168</v>
      </c>
      <c r="D11" s="8">
        <v>121.391503363144</v>
      </c>
      <c r="E11" s="8">
        <v>31.2447752841159</v>
      </c>
      <c r="F11" s="8" t="s">
        <v>1498</v>
      </c>
      <c r="G11" s="8" t="s">
        <v>21</v>
      </c>
      <c r="H11" s="13">
        <v>4.125</v>
      </c>
      <c r="I11" s="8" t="s">
        <v>491</v>
      </c>
      <c r="J11" s="8" t="s">
        <v>86</v>
      </c>
      <c r="K11" s="8" t="s">
        <v>87</v>
      </c>
      <c r="L11" s="8" t="s">
        <v>88</v>
      </c>
      <c r="M11" s="8">
        <v>608</v>
      </c>
      <c r="N11" s="8" t="s">
        <v>1258</v>
      </c>
      <c r="O11" s="11">
        <v>608</v>
      </c>
      <c r="P11" s="8" t="s">
        <v>26</v>
      </c>
      <c r="Q11" s="8" t="s">
        <v>13</v>
      </c>
      <c r="R11" s="8" t="s">
        <v>1778</v>
      </c>
      <c r="S11" s="12" t="s">
        <v>1778</v>
      </c>
      <c r="T11" s="8" t="s">
        <v>1779</v>
      </c>
      <c r="U11" s="8">
        <v>121.386115776621</v>
      </c>
      <c r="V11" s="8">
        <v>31.2346577847344</v>
      </c>
      <c r="W11" s="8" t="s">
        <v>1262</v>
      </c>
      <c r="X11">
        <v>1.419</v>
      </c>
    </row>
    <row r="12" spans="1:52 16365:16384">
      <c r="A12" s="8">
        <v>5316</v>
      </c>
      <c r="B12" s="9">
        <v>45167</v>
      </c>
      <c r="C12" s="8" t="s">
        <v>380</v>
      </c>
      <c r="D12" s="8">
        <v>121.4775948</v>
      </c>
      <c r="E12" s="8">
        <v>31.16000255</v>
      </c>
      <c r="F12" s="8" t="s">
        <v>1300</v>
      </c>
      <c r="G12" s="8" t="s">
        <v>21</v>
      </c>
      <c r="H12" s="13">
        <v>5.5</v>
      </c>
      <c r="I12" s="8" t="s">
        <v>553</v>
      </c>
      <c r="J12" s="8" t="s">
        <v>86</v>
      </c>
      <c r="K12" s="8" t="s">
        <v>87</v>
      </c>
      <c r="L12" s="8" t="s">
        <v>88</v>
      </c>
      <c r="M12" s="8">
        <v>1500</v>
      </c>
      <c r="N12" s="8" t="s">
        <v>1258</v>
      </c>
      <c r="O12" s="11">
        <v>1500</v>
      </c>
      <c r="P12" s="8" t="s">
        <v>43</v>
      </c>
      <c r="Q12" s="8" t="s">
        <v>13</v>
      </c>
      <c r="R12" s="8" t="s">
        <v>1780</v>
      </c>
      <c r="S12" s="12" t="s">
        <v>1781</v>
      </c>
      <c r="T12" s="8" t="s">
        <v>1782</v>
      </c>
      <c r="U12" s="8">
        <v>121.520674084782</v>
      </c>
      <c r="V12" s="8">
        <v>31.2411995276519</v>
      </c>
      <c r="W12" s="8" t="s">
        <v>1262</v>
      </c>
      <c r="X12">
        <v>11.807</v>
      </c>
    </row>
    <row r="13" spans="1:52 16365:16384">
      <c r="A13" s="8">
        <v>5387</v>
      </c>
      <c r="B13" s="9">
        <v>45174</v>
      </c>
      <c r="C13" s="8" t="s">
        <v>903</v>
      </c>
      <c r="D13" s="8">
        <v>121.417465034612</v>
      </c>
      <c r="E13" s="8">
        <v>31.1997373474495</v>
      </c>
      <c r="F13" s="8" t="s">
        <v>1286</v>
      </c>
      <c r="G13" s="8" t="s">
        <v>32</v>
      </c>
      <c r="H13" s="13">
        <v>6.41666666666667</v>
      </c>
      <c r="I13" s="8" t="s">
        <v>257</v>
      </c>
      <c r="J13" s="8" t="s">
        <v>109</v>
      </c>
      <c r="K13" s="8" t="s">
        <v>87</v>
      </c>
      <c r="L13" s="8" t="s">
        <v>88</v>
      </c>
      <c r="M13" s="8">
        <v>2000</v>
      </c>
      <c r="N13" s="8" t="s">
        <v>1258</v>
      </c>
      <c r="O13" s="11">
        <v>2000</v>
      </c>
      <c r="P13" s="8" t="s">
        <v>51</v>
      </c>
      <c r="Q13" s="8" t="s">
        <v>13</v>
      </c>
      <c r="R13" s="8" t="s">
        <v>1783</v>
      </c>
      <c r="S13" s="12" t="s">
        <v>1784</v>
      </c>
      <c r="T13" s="8" t="s">
        <v>1785</v>
      </c>
      <c r="U13" s="8">
        <v>121.354885498347</v>
      </c>
      <c r="V13" s="8">
        <v>31.2192840647055</v>
      </c>
      <c r="W13" s="8" t="s">
        <v>1262</v>
      </c>
      <c r="X13">
        <v>7.341</v>
      </c>
    </row>
    <row r="14" spans="1:52 16365:16384">
      <c r="A14" s="8">
        <v>5503</v>
      </c>
      <c r="B14" s="9">
        <v>45231</v>
      </c>
      <c r="C14" s="8" t="s">
        <v>773</v>
      </c>
      <c r="D14" s="8">
        <v>121.5029183</v>
      </c>
      <c r="E14" s="8">
        <v>31.31916091</v>
      </c>
      <c r="F14" s="8" t="s">
        <v>1282</v>
      </c>
      <c r="G14" s="8" t="s">
        <v>21</v>
      </c>
      <c r="H14" s="10">
        <v>4.71</v>
      </c>
      <c r="I14" s="8" t="s">
        <v>774</v>
      </c>
      <c r="J14" s="8" t="s">
        <v>86</v>
      </c>
      <c r="K14" s="8" t="s">
        <v>87</v>
      </c>
      <c r="L14" s="8" t="s">
        <v>88</v>
      </c>
      <c r="M14" s="8">
        <v>793.31</v>
      </c>
      <c r="N14" s="8" t="s">
        <v>1258</v>
      </c>
      <c r="O14" s="11">
        <v>793.31</v>
      </c>
      <c r="P14" s="8" t="s">
        <v>66</v>
      </c>
      <c r="Q14" s="8" t="s">
        <v>13</v>
      </c>
      <c r="R14" s="8" t="s">
        <v>1786</v>
      </c>
      <c r="S14" s="12" t="s">
        <v>1787</v>
      </c>
      <c r="T14" s="8" t="s">
        <v>1788</v>
      </c>
      <c r="U14" s="8">
        <v>121.510250736462</v>
      </c>
      <c r="V14" s="8">
        <v>31.3070048099281</v>
      </c>
      <c r="W14" s="8" t="s">
        <v>1262</v>
      </c>
      <c r="X14">
        <v>1.995</v>
      </c>
    </row>
    <row r="15" spans="1:52 16365:16384">
      <c r="A15" s="8">
        <v>5511</v>
      </c>
      <c r="B15" s="9">
        <v>45231</v>
      </c>
      <c r="C15" s="8" t="s">
        <v>1127</v>
      </c>
      <c r="D15" s="8">
        <v>121.40962289343</v>
      </c>
      <c r="E15" s="8">
        <v>31.2177182349868</v>
      </c>
      <c r="F15" s="8" t="s">
        <v>1789</v>
      </c>
      <c r="G15" s="8" t="s">
        <v>32</v>
      </c>
      <c r="H15" s="13">
        <v>7.79166666666667</v>
      </c>
      <c r="I15" s="8" t="s">
        <v>1129</v>
      </c>
      <c r="J15" s="8" t="s">
        <v>430</v>
      </c>
      <c r="K15" s="8" t="s">
        <v>430</v>
      </c>
      <c r="L15" s="8" t="s">
        <v>88</v>
      </c>
      <c r="M15" s="8">
        <v>320</v>
      </c>
      <c r="N15" s="8" t="s">
        <v>1258</v>
      </c>
      <c r="O15" s="11">
        <v>320</v>
      </c>
      <c r="P15" s="8" t="s">
        <v>66</v>
      </c>
      <c r="Q15" s="8" t="s">
        <v>13</v>
      </c>
      <c r="R15" s="8" t="s">
        <v>1790</v>
      </c>
      <c r="S15" s="12" t="s">
        <v>1790</v>
      </c>
      <c r="T15" s="8" t="s">
        <v>1791</v>
      </c>
      <c r="U15" s="8">
        <v>121.411096712971</v>
      </c>
      <c r="V15" s="8">
        <v>31.2168781860517</v>
      </c>
      <c r="W15" s="8" t="s">
        <v>1262</v>
      </c>
      <c r="X15">
        <v>1.116</v>
      </c>
    </row>
    <row r="16" spans="1:52 16365:16384">
      <c r="A16" s="8">
        <v>5524</v>
      </c>
      <c r="B16" s="9">
        <v>45243</v>
      </c>
      <c r="C16" s="8" t="s">
        <v>272</v>
      </c>
      <c r="D16" s="8">
        <v>121.4973757</v>
      </c>
      <c r="E16" s="8">
        <v>31.26621727</v>
      </c>
      <c r="F16" s="8" t="s">
        <v>1286</v>
      </c>
      <c r="G16" s="8" t="s">
        <v>21</v>
      </c>
      <c r="H16" s="10">
        <v>3.94722222222222</v>
      </c>
      <c r="I16" s="8" t="s">
        <v>969</v>
      </c>
      <c r="J16" s="8" t="s">
        <v>86</v>
      </c>
      <c r="K16" s="8" t="s">
        <v>87</v>
      </c>
      <c r="L16" s="8" t="s">
        <v>88</v>
      </c>
      <c r="M16" s="8">
        <v>2800</v>
      </c>
      <c r="N16" s="8" t="s">
        <v>1258</v>
      </c>
      <c r="O16" s="11">
        <v>2800</v>
      </c>
      <c r="P16" s="8" t="s">
        <v>26</v>
      </c>
      <c r="Q16" s="8" t="s">
        <v>13</v>
      </c>
      <c r="R16" s="8" t="s">
        <v>1792</v>
      </c>
      <c r="S16" s="12" t="s">
        <v>1793</v>
      </c>
      <c r="T16" s="8" t="s">
        <v>1794</v>
      </c>
      <c r="U16" s="8">
        <v>121.469389223077</v>
      </c>
      <c r="V16" s="8">
        <v>31.2707156410422</v>
      </c>
      <c r="W16" s="8" t="s">
        <v>1262</v>
      </c>
      <c r="X16">
        <v>3.991</v>
      </c>
    </row>
    <row r="17" spans="1:24">
      <c r="A17" s="8">
        <v>5619</v>
      </c>
      <c r="B17" s="9">
        <v>45292</v>
      </c>
      <c r="C17" s="8" t="s">
        <v>272</v>
      </c>
      <c r="D17" s="8">
        <v>121.4973757</v>
      </c>
      <c r="E17" s="8">
        <v>31.26621727</v>
      </c>
      <c r="F17" s="8" t="s">
        <v>1286</v>
      </c>
      <c r="G17" s="8" t="s">
        <v>21</v>
      </c>
      <c r="H17" s="10">
        <v>5.5</v>
      </c>
      <c r="I17" s="8" t="s">
        <v>963</v>
      </c>
      <c r="J17" s="8" t="s">
        <v>291</v>
      </c>
      <c r="K17" s="8" t="s">
        <v>87</v>
      </c>
      <c r="L17" s="8" t="s">
        <v>88</v>
      </c>
      <c r="M17" s="8">
        <v>191</v>
      </c>
      <c r="N17" s="8" t="s">
        <v>1258</v>
      </c>
      <c r="O17" s="11">
        <v>191</v>
      </c>
      <c r="P17" s="8" t="s">
        <v>66</v>
      </c>
      <c r="Q17" s="8" t="s">
        <v>13</v>
      </c>
      <c r="R17" s="8" t="s">
        <v>1795</v>
      </c>
      <c r="S17" s="12" t="s">
        <v>1795</v>
      </c>
      <c r="T17" s="8" t="s">
        <v>1796</v>
      </c>
      <c r="U17" s="8">
        <v>121.479227721569</v>
      </c>
      <c r="V17" s="8">
        <v>31.2630386231659</v>
      </c>
      <c r="W17" s="8" t="s">
        <v>1262</v>
      </c>
      <c r="X17">
        <v>2.6</v>
      </c>
    </row>
    <row r="18" spans="1:24">
      <c r="A18" s="8">
        <v>5634</v>
      </c>
      <c r="B18" s="9">
        <v>45300</v>
      </c>
      <c r="C18" s="8" t="s">
        <v>365</v>
      </c>
      <c r="D18" s="8">
        <v>121.405373946239</v>
      </c>
      <c r="E18" s="8">
        <v>31.2504417128511</v>
      </c>
      <c r="F18" s="8" t="s">
        <v>1498</v>
      </c>
      <c r="G18" s="8" t="s">
        <v>21</v>
      </c>
      <c r="H18" s="13">
        <v>4.125</v>
      </c>
      <c r="I18" s="8" t="s">
        <v>376</v>
      </c>
      <c r="J18" s="8" t="s">
        <v>377</v>
      </c>
      <c r="K18" s="8" t="s">
        <v>378</v>
      </c>
      <c r="L18" s="8" t="s">
        <v>88</v>
      </c>
      <c r="M18" s="8">
        <v>23000</v>
      </c>
      <c r="N18" s="8" t="s">
        <v>1258</v>
      </c>
      <c r="O18" s="11">
        <v>23000</v>
      </c>
      <c r="P18" s="8" t="s">
        <v>43</v>
      </c>
      <c r="Q18" s="8" t="s">
        <v>13</v>
      </c>
      <c r="R18" s="8" t="s">
        <v>1797</v>
      </c>
      <c r="S18" s="12" t="s">
        <v>1798</v>
      </c>
      <c r="T18" s="8" t="s">
        <v>1799</v>
      </c>
      <c r="U18" s="8">
        <v>121.386500464815</v>
      </c>
      <c r="V18" s="8">
        <v>31.2555053083826</v>
      </c>
      <c r="W18" s="8" t="s">
        <v>1262</v>
      </c>
      <c r="X18">
        <v>2.47</v>
      </c>
    </row>
    <row r="19" spans="1:24">
      <c r="A19" s="8">
        <v>5635</v>
      </c>
      <c r="B19" s="9">
        <v>45300</v>
      </c>
      <c r="C19" s="8" t="s">
        <v>403</v>
      </c>
      <c r="D19" s="8">
        <v>121.454154040947</v>
      </c>
      <c r="E19" s="8">
        <v>31.24878673169</v>
      </c>
      <c r="F19" s="8" t="s">
        <v>1467</v>
      </c>
      <c r="G19" s="8" t="s">
        <v>21</v>
      </c>
      <c r="H19" s="13">
        <v>4.58333333333333</v>
      </c>
      <c r="I19" s="8" t="s">
        <v>415</v>
      </c>
      <c r="J19" s="8" t="s">
        <v>109</v>
      </c>
      <c r="K19" s="8" t="s">
        <v>87</v>
      </c>
      <c r="L19" s="8" t="s">
        <v>88</v>
      </c>
      <c r="M19" s="8">
        <v>1200</v>
      </c>
      <c r="N19" s="8" t="s">
        <v>1258</v>
      </c>
      <c r="O19" s="11">
        <v>1200</v>
      </c>
      <c r="P19" s="8" t="s">
        <v>75</v>
      </c>
      <c r="Q19" s="8" t="s">
        <v>13</v>
      </c>
      <c r="R19" s="8" t="s">
        <v>1800</v>
      </c>
      <c r="S19" s="12" t="s">
        <v>1800</v>
      </c>
      <c r="T19" s="8" t="s">
        <v>1801</v>
      </c>
      <c r="U19" s="8">
        <v>121.434973790374</v>
      </c>
      <c r="V19" s="8">
        <v>31.2953290870962</v>
      </c>
      <c r="W19" s="8" t="s">
        <v>1262</v>
      </c>
      <c r="X19">
        <v>6.77</v>
      </c>
    </row>
    <row r="20" spans="1:24">
      <c r="A20" s="8">
        <v>5648</v>
      </c>
      <c r="B20" s="9">
        <v>45322</v>
      </c>
      <c r="C20" s="8" t="s">
        <v>671</v>
      </c>
      <c r="D20" s="8">
        <v>121.500775190549</v>
      </c>
      <c r="E20" s="8">
        <v>31.2541696781424</v>
      </c>
      <c r="F20" s="8" t="s">
        <v>1312</v>
      </c>
      <c r="G20" s="8" t="s">
        <v>21</v>
      </c>
      <c r="H20" s="13">
        <v>5.31666666666667</v>
      </c>
      <c r="I20" s="8" t="s">
        <v>672</v>
      </c>
      <c r="J20" s="8" t="s">
        <v>109</v>
      </c>
      <c r="K20" s="8" t="s">
        <v>87</v>
      </c>
      <c r="L20" s="8" t="s">
        <v>88</v>
      </c>
      <c r="M20" s="8">
        <v>3300</v>
      </c>
      <c r="N20" s="8" t="s">
        <v>1258</v>
      </c>
      <c r="O20" s="11">
        <v>3300</v>
      </c>
      <c r="P20" s="8" t="s">
        <v>75</v>
      </c>
      <c r="Q20" s="8" t="s">
        <v>13</v>
      </c>
      <c r="R20" s="8" t="s">
        <v>1802</v>
      </c>
      <c r="S20" s="12" t="s">
        <v>1802</v>
      </c>
      <c r="T20" s="8" t="s">
        <v>1803</v>
      </c>
      <c r="U20" s="8">
        <v>121.479946729891</v>
      </c>
      <c r="V20" s="8">
        <v>31.2503968405341</v>
      </c>
      <c r="W20" s="8" t="s">
        <v>1262</v>
      </c>
      <c r="X20">
        <v>2.546</v>
      </c>
    </row>
    <row r="21" spans="1:24">
      <c r="A21" s="8">
        <v>5655</v>
      </c>
      <c r="B21" s="9">
        <v>45323.5699884259</v>
      </c>
      <c r="C21" s="8" t="s">
        <v>903</v>
      </c>
      <c r="D21" s="8">
        <v>121.417465034612</v>
      </c>
      <c r="E21" s="8">
        <v>31.1997373474495</v>
      </c>
      <c r="F21" s="8" t="s">
        <v>1286</v>
      </c>
      <c r="G21" s="8" t="s">
        <v>32</v>
      </c>
      <c r="H21" s="10">
        <v>7.66666666666667</v>
      </c>
      <c r="I21" s="8" t="s">
        <v>263</v>
      </c>
      <c r="J21" s="8" t="s">
        <v>109</v>
      </c>
      <c r="K21" s="8" t="s">
        <v>87</v>
      </c>
      <c r="L21" s="8" t="s">
        <v>88</v>
      </c>
      <c r="M21" s="8">
        <v>391</v>
      </c>
      <c r="N21" s="8"/>
      <c r="O21" s="11">
        <v>391</v>
      </c>
      <c r="P21" s="8" t="s">
        <v>75</v>
      </c>
      <c r="Q21" s="8" t="s">
        <v>13</v>
      </c>
      <c r="R21" s="8" t="s">
        <v>1804</v>
      </c>
      <c r="S21" s="12" t="s">
        <v>1805</v>
      </c>
      <c r="T21" s="8" t="s">
        <v>1806</v>
      </c>
      <c r="U21" s="8">
        <v>121.439172646746</v>
      </c>
      <c r="V21" s="8">
        <v>31.2683787015363</v>
      </c>
      <c r="W21" s="8" t="s">
        <v>1262</v>
      </c>
      <c r="X21">
        <v>10.497</v>
      </c>
    </row>
    <row r="22" spans="1:24">
      <c r="A22" s="8">
        <v>5689</v>
      </c>
      <c r="B22" s="9">
        <v>45352</v>
      </c>
      <c r="C22" s="8" t="s">
        <v>168</v>
      </c>
      <c r="D22" s="8">
        <v>121.391503363144</v>
      </c>
      <c r="E22" s="8">
        <v>31.2447752841159</v>
      </c>
      <c r="F22" s="8" t="s">
        <v>1498</v>
      </c>
      <c r="G22" s="8" t="s">
        <v>21</v>
      </c>
      <c r="H22" s="13">
        <v>4.58333333333333</v>
      </c>
      <c r="I22" s="8" t="s">
        <v>499</v>
      </c>
      <c r="J22" s="8" t="s">
        <v>500</v>
      </c>
      <c r="K22" s="8" t="s">
        <v>87</v>
      </c>
      <c r="L22" s="8" t="s">
        <v>88</v>
      </c>
      <c r="M22" s="8">
        <v>601</v>
      </c>
      <c r="N22" s="8" t="s">
        <v>1258</v>
      </c>
      <c r="O22" s="11">
        <v>601</v>
      </c>
      <c r="P22" s="8" t="s">
        <v>43</v>
      </c>
      <c r="Q22" s="8" t="s">
        <v>13</v>
      </c>
      <c r="R22" s="8" t="s">
        <v>1807</v>
      </c>
      <c r="S22" s="12" t="s">
        <v>1808</v>
      </c>
      <c r="T22" s="8" t="s">
        <v>1761</v>
      </c>
      <c r="U22" s="8">
        <v>121.368557241493</v>
      </c>
      <c r="V22" s="8">
        <v>31.2360974113083</v>
      </c>
      <c r="W22" s="8" t="s">
        <v>1262</v>
      </c>
      <c r="X22">
        <v>3.276</v>
      </c>
    </row>
    <row r="23" spans="1:24">
      <c r="A23" s="8">
        <v>5688</v>
      </c>
      <c r="B23" s="9">
        <v>45352</v>
      </c>
      <c r="C23" s="8" t="s">
        <v>168</v>
      </c>
      <c r="D23" s="8">
        <v>121.391503363144</v>
      </c>
      <c r="E23" s="8">
        <v>31.2447752841159</v>
      </c>
      <c r="F23" s="8" t="s">
        <v>1498</v>
      </c>
      <c r="G23" s="8" t="s">
        <v>21</v>
      </c>
      <c r="H23" s="13">
        <v>4.125</v>
      </c>
      <c r="I23" s="8" t="s">
        <v>526</v>
      </c>
      <c r="J23" s="8" t="s">
        <v>86</v>
      </c>
      <c r="K23" s="8" t="s">
        <v>87</v>
      </c>
      <c r="L23" s="8" t="s">
        <v>88</v>
      </c>
      <c r="M23" s="8">
        <v>554</v>
      </c>
      <c r="N23" s="8" t="s">
        <v>1258</v>
      </c>
      <c r="O23" s="11">
        <v>554</v>
      </c>
      <c r="P23" s="8" t="s">
        <v>43</v>
      </c>
      <c r="Q23" s="8" t="s">
        <v>13</v>
      </c>
      <c r="R23" s="8" t="s">
        <v>1809</v>
      </c>
      <c r="S23" s="12" t="s">
        <v>1810</v>
      </c>
      <c r="T23" s="8" t="s">
        <v>1811</v>
      </c>
      <c r="U23" s="8">
        <v>121.119872318966</v>
      </c>
      <c r="V23" s="8">
        <v>31.1512977342461</v>
      </c>
      <c r="W23" s="8" t="s">
        <v>1262</v>
      </c>
      <c r="X23">
        <v>32.083</v>
      </c>
    </row>
    <row r="24" spans="1:24">
      <c r="A24" s="8">
        <v>5729</v>
      </c>
      <c r="B24" s="9">
        <v>45352.5699884259</v>
      </c>
      <c r="C24" s="8" t="s">
        <v>63</v>
      </c>
      <c r="D24" s="8">
        <v>121.4695908</v>
      </c>
      <c r="E24" s="8">
        <v>31.1724856</v>
      </c>
      <c r="F24" s="8" t="s">
        <v>1268</v>
      </c>
      <c r="G24" s="8" t="s">
        <v>21</v>
      </c>
      <c r="H24" s="10">
        <v>5.24444444444444</v>
      </c>
      <c r="I24" s="8" t="s">
        <v>108</v>
      </c>
      <c r="J24" s="8" t="s">
        <v>109</v>
      </c>
      <c r="K24" s="8" t="s">
        <v>87</v>
      </c>
      <c r="L24" s="8" t="s">
        <v>88</v>
      </c>
      <c r="M24" s="8">
        <v>444.44</v>
      </c>
      <c r="N24" s="8"/>
      <c r="O24" s="11">
        <v>444.44</v>
      </c>
      <c r="P24" s="8" t="s">
        <v>66</v>
      </c>
      <c r="Q24" s="8" t="s">
        <v>13</v>
      </c>
      <c r="R24" s="8" t="s">
        <v>1812</v>
      </c>
      <c r="S24" s="12" t="s">
        <v>1812</v>
      </c>
      <c r="T24" s="8" t="s">
        <v>1761</v>
      </c>
      <c r="U24" s="8">
        <v>121.362765541453</v>
      </c>
      <c r="V24" s="8">
        <v>31.2332910266072</v>
      </c>
      <c r="W24" s="8" t="s">
        <v>1262</v>
      </c>
      <c r="X24">
        <v>16.464</v>
      </c>
    </row>
    <row r="25" spans="1:24">
      <c r="A25" s="8">
        <v>5710</v>
      </c>
      <c r="B25" s="9">
        <v>45377</v>
      </c>
      <c r="C25" s="8" t="s">
        <v>671</v>
      </c>
      <c r="D25" s="8">
        <v>121.500775190549</v>
      </c>
      <c r="E25" s="8">
        <v>31.2541696781424</v>
      </c>
      <c r="F25" s="8" t="s">
        <v>1312</v>
      </c>
      <c r="G25" s="8" t="s">
        <v>21</v>
      </c>
      <c r="H25" s="13">
        <v>4.58333333333333</v>
      </c>
      <c r="I25" s="8" t="s">
        <v>674</v>
      </c>
      <c r="J25" s="8" t="s">
        <v>575</v>
      </c>
      <c r="K25" s="8" t="s">
        <v>206</v>
      </c>
      <c r="L25" s="8" t="s">
        <v>88</v>
      </c>
      <c r="M25" s="8">
        <v>3000</v>
      </c>
      <c r="N25" s="8" t="s">
        <v>1258</v>
      </c>
      <c r="O25" s="11">
        <v>3000</v>
      </c>
      <c r="P25" s="8" t="s">
        <v>43</v>
      </c>
      <c r="Q25" s="8" t="s">
        <v>13</v>
      </c>
      <c r="R25" s="8" t="s">
        <v>1813</v>
      </c>
      <c r="S25" s="12" t="s">
        <v>1814</v>
      </c>
      <c r="T25" s="8" t="s">
        <v>1803</v>
      </c>
      <c r="U25" s="8">
        <v>121.479072617297</v>
      </c>
      <c r="V25" s="8">
        <v>31.2495986598566</v>
      </c>
      <c r="W25" s="8" t="s">
        <v>1262</v>
      </c>
      <c r="X25">
        <v>2.546</v>
      </c>
    </row>
    <row r="26" spans="1:24">
      <c r="A26" s="8">
        <v>4757</v>
      </c>
      <c r="B26" s="9">
        <v>44927</v>
      </c>
      <c r="C26" s="8" t="s">
        <v>1144</v>
      </c>
      <c r="D26" s="8">
        <v>121.5314569</v>
      </c>
      <c r="E26" s="8">
        <v>31.21481128</v>
      </c>
      <c r="F26" s="8" t="s">
        <v>1257</v>
      </c>
      <c r="G26" s="8" t="s">
        <v>32</v>
      </c>
      <c r="H26" s="13">
        <v>7.15</v>
      </c>
      <c r="I26" s="8" t="s">
        <v>1146</v>
      </c>
      <c r="J26" s="8" t="s">
        <v>86</v>
      </c>
      <c r="K26" s="8" t="s">
        <v>87</v>
      </c>
      <c r="L26" s="8" t="s">
        <v>88</v>
      </c>
      <c r="M26" s="8">
        <v>300</v>
      </c>
      <c r="N26" s="8" t="s">
        <v>1258</v>
      </c>
      <c r="O26" s="11">
        <v>300</v>
      </c>
      <c r="P26" s="8" t="s">
        <v>66</v>
      </c>
      <c r="Q26" s="8" t="s">
        <v>52</v>
      </c>
      <c r="R26" s="8" t="s">
        <v>1815</v>
      </c>
      <c r="S26" s="12" t="s">
        <v>1816</v>
      </c>
      <c r="T26" s="8" t="s">
        <v>1817</v>
      </c>
      <c r="U26" s="8">
        <v>121.505646796781</v>
      </c>
      <c r="V26" s="8">
        <v>31.2361921027673</v>
      </c>
      <c r="W26" s="8" t="s">
        <v>32</v>
      </c>
      <c r="X26">
        <v>4.283</v>
      </c>
    </row>
    <row r="27" spans="1:24">
      <c r="A27" s="8">
        <v>4944</v>
      </c>
      <c r="B27" s="9">
        <v>45017</v>
      </c>
      <c r="C27" s="8" t="s">
        <v>896</v>
      </c>
      <c r="D27" s="8">
        <v>121.472196</v>
      </c>
      <c r="E27" s="8">
        <v>31.23476864</v>
      </c>
      <c r="F27" s="8" t="s">
        <v>1579</v>
      </c>
      <c r="G27" s="8" t="s">
        <v>32</v>
      </c>
      <c r="H27" s="10">
        <v>9.55</v>
      </c>
      <c r="I27" s="8" t="s">
        <v>897</v>
      </c>
      <c r="J27" s="8" t="s">
        <v>714</v>
      </c>
      <c r="K27" s="8" t="s">
        <v>206</v>
      </c>
      <c r="L27" s="8" t="s">
        <v>88</v>
      </c>
      <c r="M27" s="8">
        <v>673.58</v>
      </c>
      <c r="N27" s="8"/>
      <c r="O27" s="11">
        <v>673.58</v>
      </c>
      <c r="P27" s="8" t="s">
        <v>43</v>
      </c>
      <c r="Q27" s="8" t="s">
        <v>13</v>
      </c>
      <c r="R27" s="8" t="s">
        <v>1818</v>
      </c>
      <c r="S27" s="12" t="s">
        <v>1819</v>
      </c>
      <c r="T27" s="8" t="s">
        <v>1819</v>
      </c>
      <c r="U27" s="8">
        <v>121.476406396182</v>
      </c>
      <c r="V27" s="8">
        <v>31.2256535090892</v>
      </c>
      <c r="W27" s="8" t="s">
        <v>32</v>
      </c>
      <c r="X27">
        <v>1.407</v>
      </c>
    </row>
    <row r="28" spans="1:24">
      <c r="A28" s="8">
        <v>4967</v>
      </c>
      <c r="B28" s="9">
        <v>45021</v>
      </c>
      <c r="C28" s="8" t="s">
        <v>1221</v>
      </c>
      <c r="D28" s="8">
        <v>121.402004733358</v>
      </c>
      <c r="E28" s="8">
        <v>31.2563954472561</v>
      </c>
      <c r="F28" s="8" t="s">
        <v>1498</v>
      </c>
      <c r="G28" s="8" t="s">
        <v>21</v>
      </c>
      <c r="H28" s="13">
        <v>4.125</v>
      </c>
      <c r="I28" s="8" t="s">
        <v>1222</v>
      </c>
      <c r="J28" s="8" t="s">
        <v>86</v>
      </c>
      <c r="K28" s="8" t="s">
        <v>87</v>
      </c>
      <c r="L28" s="8" t="s">
        <v>88</v>
      </c>
      <c r="M28" s="8">
        <v>560</v>
      </c>
      <c r="N28" s="8" t="s">
        <v>1258</v>
      </c>
      <c r="O28" s="11">
        <v>560</v>
      </c>
      <c r="P28" s="8" t="s">
        <v>51</v>
      </c>
      <c r="Q28" s="8" t="s">
        <v>13</v>
      </c>
      <c r="R28" s="8" t="s">
        <v>1820</v>
      </c>
      <c r="S28" s="12" t="s">
        <v>1821</v>
      </c>
      <c r="T28" s="8" t="s">
        <v>1822</v>
      </c>
      <c r="U28" s="8">
        <v>121.41338633961</v>
      </c>
      <c r="V28" s="8">
        <v>31.2049170268426</v>
      </c>
      <c r="W28" s="8" t="s">
        <v>32</v>
      </c>
      <c r="X28">
        <v>6.694</v>
      </c>
    </row>
    <row r="29" spans="1:24">
      <c r="A29" s="8">
        <v>5292</v>
      </c>
      <c r="B29" s="9">
        <v>45139</v>
      </c>
      <c r="C29" s="8" t="s">
        <v>63</v>
      </c>
      <c r="D29" s="8">
        <v>121.4695908</v>
      </c>
      <c r="E29" s="8">
        <v>31.1724856</v>
      </c>
      <c r="F29" s="8" t="s">
        <v>1268</v>
      </c>
      <c r="G29" s="8" t="s">
        <v>21</v>
      </c>
      <c r="H29" s="13">
        <v>5.04166666666667</v>
      </c>
      <c r="I29" s="8" t="s">
        <v>85</v>
      </c>
      <c r="J29" s="8" t="s">
        <v>86</v>
      </c>
      <c r="K29" s="8" t="s">
        <v>87</v>
      </c>
      <c r="L29" s="8" t="s">
        <v>88</v>
      </c>
      <c r="M29" s="8">
        <v>1333</v>
      </c>
      <c r="N29" s="8" t="s">
        <v>1258</v>
      </c>
      <c r="O29" s="11">
        <v>1333</v>
      </c>
      <c r="P29" s="8" t="s">
        <v>43</v>
      </c>
      <c r="Q29" s="8" t="s">
        <v>13</v>
      </c>
      <c r="R29" s="8" t="s">
        <v>1823</v>
      </c>
      <c r="S29" s="12" t="s">
        <v>1824</v>
      </c>
      <c r="T29" s="8" t="s">
        <v>1825</v>
      </c>
      <c r="U29" s="8">
        <v>121.450063910411</v>
      </c>
      <c r="V29" s="8">
        <v>31.2324959436042</v>
      </c>
      <c r="W29" s="8" t="s">
        <v>32</v>
      </c>
      <c r="X29">
        <v>9.189</v>
      </c>
    </row>
    <row r="30" spans="1:24">
      <c r="A30" s="8">
        <v>5374</v>
      </c>
      <c r="B30" s="9">
        <v>45170</v>
      </c>
      <c r="C30" s="8" t="s">
        <v>903</v>
      </c>
      <c r="D30" s="8">
        <v>121.417465034612</v>
      </c>
      <c r="E30" s="8">
        <v>31.1997373474495</v>
      </c>
      <c r="F30" s="8" t="s">
        <v>1286</v>
      </c>
      <c r="G30" s="8" t="s">
        <v>32</v>
      </c>
      <c r="H30" s="13">
        <v>6.41666666666667</v>
      </c>
      <c r="I30" s="8" t="s">
        <v>254</v>
      </c>
      <c r="J30" s="8" t="s">
        <v>255</v>
      </c>
      <c r="K30" s="8" t="s">
        <v>244</v>
      </c>
      <c r="L30" s="8" t="s">
        <v>88</v>
      </c>
      <c r="M30" s="8">
        <v>3300</v>
      </c>
      <c r="N30" s="8" t="s">
        <v>1258</v>
      </c>
      <c r="O30" s="11">
        <v>3300</v>
      </c>
      <c r="P30" s="8" t="s">
        <v>43</v>
      </c>
      <c r="Q30" s="8" t="s">
        <v>13</v>
      </c>
      <c r="R30" s="8" t="s">
        <v>1826</v>
      </c>
      <c r="S30" s="12" t="s">
        <v>1827</v>
      </c>
      <c r="T30" s="8" t="s">
        <v>1828</v>
      </c>
      <c r="U30" s="8">
        <v>121.421093073759</v>
      </c>
      <c r="V30" s="8">
        <v>31.2212670108301</v>
      </c>
      <c r="W30" s="8" t="s">
        <v>32</v>
      </c>
      <c r="X30">
        <v>3.464</v>
      </c>
    </row>
    <row r="31" spans="1:24">
      <c r="A31" s="8">
        <v>5395</v>
      </c>
      <c r="B31" s="9">
        <v>45194</v>
      </c>
      <c r="C31" s="8" t="s">
        <v>639</v>
      </c>
      <c r="D31" s="8">
        <v>121.476238880865</v>
      </c>
      <c r="E31" s="8">
        <v>31.1983117655287</v>
      </c>
      <c r="F31" s="8" t="s">
        <v>1263</v>
      </c>
      <c r="G31" s="8" t="s">
        <v>21</v>
      </c>
      <c r="H31" s="10">
        <v>9.72222222222222</v>
      </c>
      <c r="I31" s="8" t="s">
        <v>664</v>
      </c>
      <c r="J31" s="8" t="s">
        <v>575</v>
      </c>
      <c r="K31" s="8" t="s">
        <v>206</v>
      </c>
      <c r="L31" s="8" t="s">
        <v>88</v>
      </c>
      <c r="M31" s="8">
        <v>350</v>
      </c>
      <c r="N31" s="8" t="s">
        <v>1258</v>
      </c>
      <c r="O31" s="11">
        <v>350</v>
      </c>
      <c r="P31" s="8" t="s">
        <v>66</v>
      </c>
      <c r="Q31" s="8" t="s">
        <v>13</v>
      </c>
      <c r="R31" s="8" t="s">
        <v>1829</v>
      </c>
      <c r="S31" s="12" t="s">
        <v>1829</v>
      </c>
      <c r="T31" s="8" t="s">
        <v>1830</v>
      </c>
      <c r="U31" s="8">
        <v>121.468645098365</v>
      </c>
      <c r="V31" s="8">
        <v>31.2390960890398</v>
      </c>
      <c r="W31" s="8" t="s">
        <v>32</v>
      </c>
      <c r="X31">
        <v>5.55</v>
      </c>
    </row>
    <row r="32" spans="1:24">
      <c r="A32" s="8">
        <v>5413</v>
      </c>
      <c r="B32" s="9">
        <v>45200</v>
      </c>
      <c r="C32" s="8" t="s">
        <v>825</v>
      </c>
      <c r="D32" s="8">
        <v>121.4733099</v>
      </c>
      <c r="E32" s="8">
        <v>31.22287764</v>
      </c>
      <c r="F32" s="8" t="s">
        <v>1334</v>
      </c>
      <c r="G32" s="8" t="s">
        <v>32</v>
      </c>
      <c r="H32" s="10">
        <v>8.29365079365079</v>
      </c>
      <c r="I32" s="8" t="s">
        <v>828</v>
      </c>
      <c r="J32" s="8" t="s">
        <v>367</v>
      </c>
      <c r="K32" s="8" t="s">
        <v>368</v>
      </c>
      <c r="L32" s="8" t="s">
        <v>88</v>
      </c>
      <c r="M32" s="8">
        <v>937.08</v>
      </c>
      <c r="N32" s="8" t="s">
        <v>1258</v>
      </c>
      <c r="O32" s="11">
        <v>937.08</v>
      </c>
      <c r="P32" s="8" t="s">
        <v>66</v>
      </c>
      <c r="Q32" s="8" t="s">
        <v>52</v>
      </c>
      <c r="R32" s="8" t="s">
        <v>1831</v>
      </c>
      <c r="S32" s="12" t="s">
        <v>1832</v>
      </c>
      <c r="T32" s="8" t="s">
        <v>1833</v>
      </c>
      <c r="U32" s="8">
        <v>121.441384293977</v>
      </c>
      <c r="V32" s="8">
        <v>31.2263159312504</v>
      </c>
      <c r="W32" s="8" t="s">
        <v>32</v>
      </c>
      <c r="X32">
        <v>2.469</v>
      </c>
    </row>
    <row r="33" spans="1:26">
      <c r="A33" s="8">
        <v>5586</v>
      </c>
      <c r="B33" s="9">
        <v>45261</v>
      </c>
      <c r="C33" s="8" t="s">
        <v>462</v>
      </c>
      <c r="D33" s="8">
        <v>121.4358335038</v>
      </c>
      <c r="E33" s="8">
        <v>31.2431872063</v>
      </c>
      <c r="F33" s="8" t="s">
        <v>1543</v>
      </c>
      <c r="G33" s="8" t="s">
        <v>21</v>
      </c>
      <c r="H33" s="13">
        <v>5.31666666666667</v>
      </c>
      <c r="I33" s="8" t="s">
        <v>1234</v>
      </c>
      <c r="J33" s="8" t="s">
        <v>109</v>
      </c>
      <c r="K33" s="8" t="s">
        <v>87</v>
      </c>
      <c r="L33" s="8" t="s">
        <v>88</v>
      </c>
      <c r="M33" s="8">
        <v>1300</v>
      </c>
      <c r="N33" s="8" t="s">
        <v>1258</v>
      </c>
      <c r="O33" s="11">
        <v>1300</v>
      </c>
      <c r="P33" s="8" t="s">
        <v>66</v>
      </c>
      <c r="Q33" s="8" t="s">
        <v>13</v>
      </c>
      <c r="R33" s="8" t="s">
        <v>1598</v>
      </c>
      <c r="S33" s="12" t="s">
        <v>1599</v>
      </c>
      <c r="T33" s="8" t="s">
        <v>1600</v>
      </c>
      <c r="U33" s="8">
        <v>121.452304261384</v>
      </c>
      <c r="V33" s="8">
        <v>31.2305159570075</v>
      </c>
      <c r="W33" s="8" t="s">
        <v>32</v>
      </c>
      <c r="X33">
        <v>2.688</v>
      </c>
    </row>
    <row r="34" spans="1:26">
      <c r="A34" s="8">
        <v>5568</v>
      </c>
      <c r="B34" s="9">
        <v>45261</v>
      </c>
      <c r="C34" s="8" t="s">
        <v>316</v>
      </c>
      <c r="D34" s="8">
        <v>121.3949049</v>
      </c>
      <c r="E34" s="8">
        <v>31.19994406</v>
      </c>
      <c r="F34" s="8" t="s">
        <v>1565</v>
      </c>
      <c r="G34" s="8" t="s">
        <v>32</v>
      </c>
      <c r="H34" s="10">
        <v>5.83</v>
      </c>
      <c r="I34" s="8" t="s">
        <v>317</v>
      </c>
      <c r="J34" s="8" t="s">
        <v>86</v>
      </c>
      <c r="K34" s="8" t="s">
        <v>87</v>
      </c>
      <c r="L34" s="8" t="s">
        <v>88</v>
      </c>
      <c r="M34" s="8">
        <v>931.04</v>
      </c>
      <c r="N34" s="8" t="s">
        <v>1258</v>
      </c>
      <c r="O34" s="11">
        <v>931.04</v>
      </c>
      <c r="P34" s="8" t="s">
        <v>66</v>
      </c>
      <c r="Q34" s="8" t="s">
        <v>13</v>
      </c>
      <c r="R34" s="8" t="s">
        <v>1834</v>
      </c>
      <c r="S34" s="12" t="s">
        <v>1835</v>
      </c>
      <c r="T34" s="8" t="s">
        <v>1836</v>
      </c>
      <c r="U34" s="8">
        <v>121.504237865036</v>
      </c>
      <c r="V34" s="8">
        <v>31.2393829548527</v>
      </c>
      <c r="W34" s="8" t="s">
        <v>32</v>
      </c>
      <c r="X34">
        <v>13.043</v>
      </c>
    </row>
    <row r="35" spans="1:26">
      <c r="A35" s="8">
        <v>5550</v>
      </c>
      <c r="B35" s="9">
        <v>45261</v>
      </c>
      <c r="C35" s="8" t="s">
        <v>180</v>
      </c>
      <c r="D35" s="8">
        <v>121.456623924091</v>
      </c>
      <c r="E35" s="8">
        <v>31.239371056045</v>
      </c>
      <c r="F35" s="8" t="s">
        <v>1293</v>
      </c>
      <c r="G35" s="8" t="s">
        <v>32</v>
      </c>
      <c r="H35" s="10">
        <v>5.92</v>
      </c>
      <c r="I35" s="8" t="s">
        <v>204</v>
      </c>
      <c r="J35" s="8" t="s">
        <v>205</v>
      </c>
      <c r="K35" s="8" t="s">
        <v>206</v>
      </c>
      <c r="L35" s="8" t="s">
        <v>88</v>
      </c>
      <c r="M35" s="8">
        <v>866.73</v>
      </c>
      <c r="N35" s="8" t="s">
        <v>1258</v>
      </c>
      <c r="O35" s="11">
        <v>866.73</v>
      </c>
      <c r="P35" s="8" t="s">
        <v>66</v>
      </c>
      <c r="Q35" s="8" t="s">
        <v>13</v>
      </c>
      <c r="R35" s="8" t="s">
        <v>1712</v>
      </c>
      <c r="S35" s="12" t="s">
        <v>1837</v>
      </c>
      <c r="T35" s="8" t="s">
        <v>1089</v>
      </c>
      <c r="U35" s="8">
        <v>121.473529154503</v>
      </c>
      <c r="V35" s="8">
        <v>31.2329579502075</v>
      </c>
      <c r="W35" s="8" t="s">
        <v>32</v>
      </c>
      <c r="X35">
        <v>2.387</v>
      </c>
    </row>
    <row r="36" spans="1:26">
      <c r="A36" s="8">
        <v>5625</v>
      </c>
      <c r="B36" s="9">
        <v>45292</v>
      </c>
      <c r="C36" s="8" t="s">
        <v>671</v>
      </c>
      <c r="D36" s="8">
        <v>121.500775190549</v>
      </c>
      <c r="E36" s="8">
        <v>31.2541696781424</v>
      </c>
      <c r="F36" s="8" t="s">
        <v>1312</v>
      </c>
      <c r="G36" s="8" t="s">
        <v>21</v>
      </c>
      <c r="H36" s="10">
        <v>5.16666666666667</v>
      </c>
      <c r="I36" s="8" t="s">
        <v>680</v>
      </c>
      <c r="J36" s="8" t="s">
        <v>394</v>
      </c>
      <c r="K36" s="8" t="s">
        <v>378</v>
      </c>
      <c r="L36" s="8" t="s">
        <v>88</v>
      </c>
      <c r="M36" s="8">
        <v>3000</v>
      </c>
      <c r="N36" s="8" t="s">
        <v>1258</v>
      </c>
      <c r="O36" s="11">
        <v>3000</v>
      </c>
      <c r="P36" s="8" t="s">
        <v>43</v>
      </c>
      <c r="Q36" s="8" t="s">
        <v>13</v>
      </c>
      <c r="R36" s="8" t="s">
        <v>1838</v>
      </c>
      <c r="S36" s="12" t="s">
        <v>1839</v>
      </c>
      <c r="T36" s="8" t="s">
        <v>1839</v>
      </c>
      <c r="U36" s="8">
        <v>121.435146796309</v>
      </c>
      <c r="V36" s="8">
        <v>31.1947913136845</v>
      </c>
      <c r="W36" s="8" t="s">
        <v>32</v>
      </c>
      <c r="X36">
        <v>10.497</v>
      </c>
    </row>
    <row r="37" spans="1:26">
      <c r="A37" s="8">
        <v>5643</v>
      </c>
      <c r="B37" s="9">
        <v>45313</v>
      </c>
      <c r="C37" s="8" t="s">
        <v>625</v>
      </c>
      <c r="D37" s="8">
        <v>121.462346763421</v>
      </c>
      <c r="E37" s="8">
        <v>31.2435680087392</v>
      </c>
      <c r="F37" s="8" t="s">
        <v>1529</v>
      </c>
      <c r="G37" s="8" t="s">
        <v>21</v>
      </c>
      <c r="H37" s="13">
        <v>6.6</v>
      </c>
      <c r="I37" s="8" t="s">
        <v>992</v>
      </c>
      <c r="J37" s="8" t="s">
        <v>205</v>
      </c>
      <c r="K37" s="8" t="s">
        <v>206</v>
      </c>
      <c r="L37" s="8" t="s">
        <v>88</v>
      </c>
      <c r="M37" s="8">
        <v>1850</v>
      </c>
      <c r="N37" s="8" t="s">
        <v>1258</v>
      </c>
      <c r="O37" s="11">
        <v>1850</v>
      </c>
      <c r="P37" s="8" t="s">
        <v>43</v>
      </c>
      <c r="Q37" s="8" t="s">
        <v>13</v>
      </c>
      <c r="R37" s="8" t="s">
        <v>1598</v>
      </c>
      <c r="S37" s="12" t="s">
        <v>1599</v>
      </c>
      <c r="T37" s="8" t="s">
        <v>1600</v>
      </c>
      <c r="U37" s="8">
        <v>121.452304261384</v>
      </c>
      <c r="V37" s="8">
        <v>31.2305159570075</v>
      </c>
      <c r="W37" s="8" t="s">
        <v>32</v>
      </c>
      <c r="X37">
        <v>2.909</v>
      </c>
    </row>
    <row r="38" spans="1:26">
      <c r="A38" s="8">
        <v>3997</v>
      </c>
      <c r="B38" s="9">
        <v>44568</v>
      </c>
      <c r="C38" s="8" t="s">
        <v>1630</v>
      </c>
      <c r="D38" s="8">
        <v>121.476238880865</v>
      </c>
      <c r="E38" s="8">
        <v>31.1983117655287</v>
      </c>
      <c r="F38" s="8" t="s">
        <v>1263</v>
      </c>
      <c r="G38" s="8" t="s">
        <v>21</v>
      </c>
      <c r="H38" s="10">
        <v>8.19</v>
      </c>
      <c r="I38" s="8" t="s">
        <v>667</v>
      </c>
      <c r="J38" s="8" t="s">
        <v>291</v>
      </c>
      <c r="K38" s="8" t="s">
        <v>87</v>
      </c>
      <c r="L38" s="8" t="s">
        <v>88</v>
      </c>
      <c r="M38" s="8">
        <v>2111</v>
      </c>
      <c r="N38" s="8" t="s">
        <v>1258</v>
      </c>
      <c r="O38" s="11">
        <v>2111</v>
      </c>
      <c r="P38" s="8" t="s">
        <v>66</v>
      </c>
      <c r="Q38" s="8" t="s">
        <v>52</v>
      </c>
      <c r="R38" s="8" t="s">
        <v>1840</v>
      </c>
      <c r="S38" s="8" t="s">
        <v>442</v>
      </c>
      <c r="T38" s="8" t="s">
        <v>442</v>
      </c>
      <c r="U38" s="8">
        <v>121.440152275549</v>
      </c>
      <c r="V38" s="8">
        <v>31.2233931202403</v>
      </c>
      <c r="W38" s="8"/>
      <c r="X38" s="15">
        <v>6.49</v>
      </c>
      <c r="Z38" s="15"/>
    </row>
    <row r="39" spans="1:26">
      <c r="A39" s="8">
        <v>4042</v>
      </c>
      <c r="B39" s="9">
        <v>44609</v>
      </c>
      <c r="C39" s="8" t="s">
        <v>890</v>
      </c>
      <c r="D39" s="8">
        <v>121.481847789921</v>
      </c>
      <c r="E39" s="8">
        <v>31.2479790839293</v>
      </c>
      <c r="F39" s="8" t="s">
        <v>1312</v>
      </c>
      <c r="G39" s="8" t="s">
        <v>21</v>
      </c>
      <c r="H39" s="10">
        <v>8.5</v>
      </c>
      <c r="I39" s="8" t="s">
        <v>893</v>
      </c>
      <c r="J39" s="8" t="s">
        <v>255</v>
      </c>
      <c r="K39" s="8" t="s">
        <v>244</v>
      </c>
      <c r="L39" s="8" t="s">
        <v>88</v>
      </c>
      <c r="M39" s="8">
        <v>5000</v>
      </c>
      <c r="N39" s="8" t="s">
        <v>1258</v>
      </c>
      <c r="O39" s="11">
        <v>5000</v>
      </c>
      <c r="P39" s="8" t="s">
        <v>51</v>
      </c>
      <c r="Q39" s="8" t="s">
        <v>13</v>
      </c>
      <c r="R39" s="8" t="s">
        <v>1841</v>
      </c>
      <c r="S39" s="8" t="s">
        <v>1842</v>
      </c>
      <c r="T39" s="8" t="s">
        <v>1842</v>
      </c>
      <c r="U39" s="8">
        <v>121.503949482192</v>
      </c>
      <c r="V39" s="8">
        <v>31.33190582467</v>
      </c>
      <c r="W39" s="8"/>
      <c r="X39" s="15">
        <v>11.14</v>
      </c>
      <c r="Z39" s="15"/>
    </row>
    <row r="40" spans="1:26">
      <c r="A40" s="8">
        <v>4143</v>
      </c>
      <c r="B40" s="9">
        <v>44713</v>
      </c>
      <c r="C40" s="8" t="s">
        <v>423</v>
      </c>
      <c r="D40" s="8">
        <v>121.446585570424</v>
      </c>
      <c r="E40" s="8">
        <v>31.2783432886804</v>
      </c>
      <c r="F40" s="8" t="s">
        <v>1685</v>
      </c>
      <c r="G40" s="8" t="s">
        <v>21</v>
      </c>
      <c r="H40" s="10">
        <v>5.225</v>
      </c>
      <c r="I40" s="8" t="s">
        <v>429</v>
      </c>
      <c r="J40" s="8" t="s">
        <v>430</v>
      </c>
      <c r="K40" s="8" t="s">
        <v>430</v>
      </c>
      <c r="L40" s="8" t="s">
        <v>88</v>
      </c>
      <c r="M40" s="8">
        <v>1291</v>
      </c>
      <c r="N40" s="8" t="s">
        <v>1258</v>
      </c>
      <c r="O40" s="11">
        <v>1291</v>
      </c>
      <c r="P40" s="8" t="s">
        <v>66</v>
      </c>
      <c r="Q40" s="8" t="s">
        <v>13</v>
      </c>
      <c r="R40" s="8" t="s">
        <v>1843</v>
      </c>
      <c r="S40" s="8" t="s">
        <v>1844</v>
      </c>
      <c r="T40" s="8" t="s">
        <v>1844</v>
      </c>
      <c r="U40" s="8">
        <v>121.439994038066</v>
      </c>
      <c r="V40" s="8">
        <v>31.2683046495312</v>
      </c>
      <c r="W40" s="8"/>
      <c r="X40" s="15">
        <v>2.6</v>
      </c>
      <c r="Z40" s="15"/>
    </row>
    <row r="41" spans="1:26">
      <c r="A41" s="8">
        <v>4138</v>
      </c>
      <c r="B41" s="9">
        <v>44713</v>
      </c>
      <c r="C41" s="8" t="s">
        <v>810</v>
      </c>
      <c r="D41" s="8">
        <v>121.540161167296</v>
      </c>
      <c r="E41" s="8">
        <v>31.2510902949661</v>
      </c>
      <c r="F41" s="8" t="s">
        <v>1344</v>
      </c>
      <c r="G41" s="8" t="s">
        <v>21</v>
      </c>
      <c r="H41" s="13">
        <v>9.075</v>
      </c>
      <c r="I41" s="8" t="s">
        <v>1166</v>
      </c>
      <c r="J41" s="8" t="s">
        <v>291</v>
      </c>
      <c r="K41" s="8" t="s">
        <v>87</v>
      </c>
      <c r="L41" s="8" t="s">
        <v>88</v>
      </c>
      <c r="M41" s="8">
        <v>700</v>
      </c>
      <c r="N41" s="8" t="s">
        <v>1258</v>
      </c>
      <c r="O41" s="11">
        <v>700</v>
      </c>
      <c r="P41" s="8" t="s">
        <v>51</v>
      </c>
      <c r="Q41" s="8" t="s">
        <v>13</v>
      </c>
      <c r="R41" s="8" t="s">
        <v>1845</v>
      </c>
      <c r="S41" s="8" t="s">
        <v>1846</v>
      </c>
      <c r="T41" s="8" t="s">
        <v>1846</v>
      </c>
      <c r="U41" s="8">
        <v>121.478376539513</v>
      </c>
      <c r="V41" s="8">
        <v>30.9525938147372</v>
      </c>
      <c r="W41" s="8"/>
      <c r="X41" s="15">
        <v>40.92</v>
      </c>
      <c r="Z41" s="15"/>
    </row>
    <row r="42" spans="1:26">
      <c r="A42" s="8">
        <v>4238</v>
      </c>
      <c r="B42" s="9">
        <v>44743</v>
      </c>
      <c r="C42" s="8" t="s">
        <v>233</v>
      </c>
      <c r="D42" s="8">
        <v>121.450045802</v>
      </c>
      <c r="E42" s="8">
        <v>31.2551927343</v>
      </c>
      <c r="F42" s="8" t="s">
        <v>1467</v>
      </c>
      <c r="G42" s="8" t="s">
        <v>21</v>
      </c>
      <c r="H42" s="10">
        <v>5.66666666666667</v>
      </c>
      <c r="I42" s="8" t="s">
        <v>242</v>
      </c>
      <c r="J42" s="8" t="s">
        <v>243</v>
      </c>
      <c r="K42" s="8" t="s">
        <v>244</v>
      </c>
      <c r="L42" s="8" t="s">
        <v>88</v>
      </c>
      <c r="M42" s="8">
        <v>1648.75</v>
      </c>
      <c r="N42" s="8">
        <v>0</v>
      </c>
      <c r="O42" s="11">
        <v>1648.75</v>
      </c>
      <c r="P42" s="8" t="s">
        <v>245</v>
      </c>
      <c r="Q42" s="8" t="s">
        <v>13</v>
      </c>
      <c r="R42" s="8" t="s">
        <v>1847</v>
      </c>
      <c r="S42" s="8" t="s">
        <v>1848</v>
      </c>
      <c r="T42" s="8" t="s">
        <v>1848</v>
      </c>
      <c r="U42" s="8">
        <v>121.489207881886</v>
      </c>
      <c r="V42" s="8">
        <v>31.4087175430102</v>
      </c>
      <c r="W42" s="8"/>
      <c r="X42" s="15">
        <v>20.615</v>
      </c>
      <c r="Z42" s="15"/>
    </row>
    <row r="43" spans="1:26">
      <c r="A43" s="8">
        <v>4391</v>
      </c>
      <c r="B43" s="9">
        <v>44805</v>
      </c>
      <c r="C43" s="8" t="s">
        <v>1849</v>
      </c>
      <c r="D43" s="8">
        <v>121.4689464042</v>
      </c>
      <c r="E43" s="8">
        <v>31.1553650124</v>
      </c>
      <c r="F43" s="8" t="s">
        <v>1300</v>
      </c>
      <c r="G43" s="8" t="s">
        <v>21</v>
      </c>
      <c r="H43" s="10">
        <v>6.175</v>
      </c>
      <c r="I43" s="8" t="s">
        <v>602</v>
      </c>
      <c r="J43" s="8" t="s">
        <v>367</v>
      </c>
      <c r="K43" s="8" t="s">
        <v>368</v>
      </c>
      <c r="L43" s="8" t="s">
        <v>88</v>
      </c>
      <c r="M43" s="8">
        <v>18000</v>
      </c>
      <c r="N43" s="8" t="s">
        <v>1258</v>
      </c>
      <c r="O43" s="11">
        <v>18000</v>
      </c>
      <c r="P43" s="8" t="s">
        <v>43</v>
      </c>
      <c r="Q43" s="8" t="s">
        <v>13</v>
      </c>
      <c r="R43" s="8" t="s">
        <v>1850</v>
      </c>
      <c r="S43" s="8" t="s">
        <v>1851</v>
      </c>
      <c r="T43" s="8" t="s">
        <v>1851</v>
      </c>
      <c r="U43" s="8">
        <v>121.423648293643</v>
      </c>
      <c r="V43" s="8">
        <v>31.2105001104338</v>
      </c>
      <c r="W43" s="8"/>
      <c r="X43" s="15">
        <v>12.79</v>
      </c>
      <c r="Z43" s="15"/>
    </row>
    <row r="44" spans="1:26">
      <c r="A44" s="8">
        <v>4373</v>
      </c>
      <c r="B44" s="9">
        <v>44805</v>
      </c>
      <c r="C44" s="8" t="s">
        <v>625</v>
      </c>
      <c r="D44" s="8">
        <v>121.462346763421</v>
      </c>
      <c r="E44" s="8">
        <v>31.2435680087392</v>
      </c>
      <c r="F44" s="8" t="s">
        <v>1529</v>
      </c>
      <c r="G44" s="8" t="s">
        <v>21</v>
      </c>
      <c r="H44" s="10">
        <v>6.13</v>
      </c>
      <c r="I44" s="8" t="s">
        <v>995</v>
      </c>
      <c r="J44" s="8" t="s">
        <v>291</v>
      </c>
      <c r="K44" s="8" t="s">
        <v>87</v>
      </c>
      <c r="L44" s="8" t="s">
        <v>88</v>
      </c>
      <c r="M44" s="8">
        <v>161</v>
      </c>
      <c r="N44" s="8">
        <v>0</v>
      </c>
      <c r="O44" s="11">
        <v>161</v>
      </c>
      <c r="P44" s="8" t="s">
        <v>245</v>
      </c>
      <c r="Q44" s="8" t="s">
        <v>13</v>
      </c>
      <c r="R44" s="8" t="s">
        <v>1852</v>
      </c>
      <c r="S44" s="8" t="s">
        <v>1853</v>
      </c>
      <c r="T44" s="8" t="s">
        <v>1853</v>
      </c>
      <c r="U44" s="8">
        <v>121.445453531734</v>
      </c>
      <c r="V44" s="8">
        <v>31.2351029431235</v>
      </c>
      <c r="W44" s="8"/>
      <c r="X44" s="15">
        <v>3.95</v>
      </c>
      <c r="Z44" s="15"/>
    </row>
    <row r="45" spans="1:26">
      <c r="A45" s="8">
        <v>4444</v>
      </c>
      <c r="B45" s="9">
        <v>44835</v>
      </c>
      <c r="C45" s="8" t="s">
        <v>423</v>
      </c>
      <c r="D45" s="8">
        <v>121.446585570424</v>
      </c>
      <c r="E45" s="8">
        <v>31.2783432886804</v>
      </c>
      <c r="F45" s="8" t="s">
        <v>1685</v>
      </c>
      <c r="G45" s="8" t="s">
        <v>21</v>
      </c>
      <c r="H45" s="10">
        <v>5.95833333333333</v>
      </c>
      <c r="I45" s="8" t="s">
        <v>432</v>
      </c>
      <c r="J45" s="8" t="s">
        <v>291</v>
      </c>
      <c r="K45" s="8" t="s">
        <v>87</v>
      </c>
      <c r="L45" s="8" t="s">
        <v>88</v>
      </c>
      <c r="M45" s="8">
        <v>1650</v>
      </c>
      <c r="N45" s="8" t="s">
        <v>1258</v>
      </c>
      <c r="O45" s="11">
        <v>1650</v>
      </c>
      <c r="P45" s="8" t="s">
        <v>66</v>
      </c>
      <c r="Q45" s="8" t="s">
        <v>13</v>
      </c>
      <c r="R45" s="8" t="s">
        <v>1854</v>
      </c>
      <c r="S45" s="8" t="s">
        <v>1855</v>
      </c>
      <c r="T45" s="8" t="s">
        <v>1855</v>
      </c>
      <c r="U45" s="8">
        <v>121.526677144987</v>
      </c>
      <c r="V45" s="8">
        <v>31.2258301179091</v>
      </c>
      <c r="W45" s="8"/>
      <c r="X45" s="15">
        <v>11.765</v>
      </c>
      <c r="Z45" s="15"/>
    </row>
    <row r="46" spans="1:26">
      <c r="A46" s="8">
        <v>4463</v>
      </c>
      <c r="B46" s="9">
        <v>44849</v>
      </c>
      <c r="C46" s="8" t="s">
        <v>807</v>
      </c>
      <c r="D46" s="8">
        <v>121.4795981</v>
      </c>
      <c r="E46" s="8">
        <v>31.24007609</v>
      </c>
      <c r="F46" s="8" t="s">
        <v>1579</v>
      </c>
      <c r="G46" s="8" t="s">
        <v>32</v>
      </c>
      <c r="H46" s="13">
        <v>7.51666666666667</v>
      </c>
      <c r="I46" s="8" t="s">
        <v>808</v>
      </c>
      <c r="J46" s="8" t="s">
        <v>430</v>
      </c>
      <c r="K46" s="8" t="s">
        <v>430</v>
      </c>
      <c r="L46" s="8" t="s">
        <v>88</v>
      </c>
      <c r="M46" s="8">
        <v>2600</v>
      </c>
      <c r="N46" s="8" t="s">
        <v>1258</v>
      </c>
      <c r="O46" s="11">
        <v>2600</v>
      </c>
      <c r="P46" s="8" t="s">
        <v>43</v>
      </c>
      <c r="Q46" s="8" t="s">
        <v>52</v>
      </c>
      <c r="R46" s="8" t="s">
        <v>1856</v>
      </c>
      <c r="S46" s="8" t="s">
        <v>1857</v>
      </c>
      <c r="T46" s="8" t="s">
        <v>1857</v>
      </c>
      <c r="U46" s="8">
        <v>121.479675713121</v>
      </c>
      <c r="V46" s="8">
        <v>31.2389317674247</v>
      </c>
      <c r="W46" s="8"/>
      <c r="X46" s="15">
        <v>0.74</v>
      </c>
      <c r="Z46" s="15"/>
    </row>
    <row r="47" spans="1:26">
      <c r="A47" s="8">
        <v>4475</v>
      </c>
      <c r="B47" s="9">
        <v>44864</v>
      </c>
      <c r="C47" s="8" t="s">
        <v>890</v>
      </c>
      <c r="D47" s="8">
        <v>121.481847789921</v>
      </c>
      <c r="E47" s="8">
        <v>31.2479790839293</v>
      </c>
      <c r="F47" s="8" t="s">
        <v>1312</v>
      </c>
      <c r="G47" s="8" t="s">
        <v>21</v>
      </c>
      <c r="H47" s="13">
        <v>7.79166666666667</v>
      </c>
      <c r="I47" s="8" t="s">
        <v>891</v>
      </c>
      <c r="J47" s="8" t="s">
        <v>86</v>
      </c>
      <c r="K47" s="8" t="s">
        <v>87</v>
      </c>
      <c r="L47" s="8" t="s">
        <v>88</v>
      </c>
      <c r="M47" s="8">
        <v>84</v>
      </c>
      <c r="N47" s="8" t="s">
        <v>1258</v>
      </c>
      <c r="O47" s="11">
        <v>84</v>
      </c>
      <c r="P47" s="8" t="s">
        <v>51</v>
      </c>
      <c r="Q47" s="8" t="s">
        <v>13</v>
      </c>
      <c r="R47" s="8" t="s">
        <v>1858</v>
      </c>
      <c r="S47" s="8" t="s">
        <v>1859</v>
      </c>
      <c r="T47" s="8" t="s">
        <v>1859</v>
      </c>
      <c r="U47" s="8">
        <v>121.435675878823</v>
      </c>
      <c r="V47" s="8">
        <v>31.2468005291557</v>
      </c>
      <c r="W47" s="8"/>
      <c r="X47" s="15">
        <v>6.655</v>
      </c>
      <c r="Z47" s="15"/>
    </row>
    <row r="48" spans="1:26">
      <c r="A48" s="8">
        <v>4478</v>
      </c>
      <c r="B48" s="9">
        <v>44866</v>
      </c>
      <c r="C48" s="8" t="s">
        <v>537</v>
      </c>
      <c r="D48" s="8">
        <v>121.472650053813</v>
      </c>
      <c r="E48" s="8">
        <v>31.2122118169666</v>
      </c>
      <c r="F48" s="8" t="s">
        <v>1334</v>
      </c>
      <c r="G48" s="8" t="s">
        <v>32</v>
      </c>
      <c r="H48" s="13">
        <v>9.625</v>
      </c>
      <c r="I48" s="8" t="s">
        <v>538</v>
      </c>
      <c r="J48" s="8" t="s">
        <v>539</v>
      </c>
      <c r="K48" s="8" t="s">
        <v>244</v>
      </c>
      <c r="L48" s="8" t="s">
        <v>88</v>
      </c>
      <c r="M48" s="8">
        <v>20000</v>
      </c>
      <c r="N48" s="8" t="s">
        <v>1258</v>
      </c>
      <c r="O48" s="11">
        <v>20000</v>
      </c>
      <c r="P48" s="8" t="s">
        <v>43</v>
      </c>
      <c r="Q48" s="8" t="s">
        <v>13</v>
      </c>
      <c r="R48" s="8" t="s">
        <v>1860</v>
      </c>
      <c r="S48" s="8" t="s">
        <v>1861</v>
      </c>
      <c r="T48" s="8" t="s">
        <v>1861</v>
      </c>
      <c r="U48" s="8">
        <v>121.469878566786</v>
      </c>
      <c r="V48" s="8">
        <v>31.2166855188248</v>
      </c>
      <c r="W48" s="8"/>
      <c r="X48" s="15">
        <v>1.005</v>
      </c>
      <c r="Z48" s="15"/>
    </row>
    <row r="49" spans="1:26">
      <c r="A49" s="8">
        <v>4493</v>
      </c>
      <c r="B49" s="9">
        <v>44866</v>
      </c>
      <c r="C49" s="8" t="s">
        <v>1862</v>
      </c>
      <c r="D49" s="8">
        <v>121.4515617</v>
      </c>
      <c r="E49" s="8">
        <v>31.24548309</v>
      </c>
      <c r="F49" s="8" t="s">
        <v>1467</v>
      </c>
      <c r="G49" s="8" t="s">
        <v>21</v>
      </c>
      <c r="H49" s="10">
        <v>8.17</v>
      </c>
      <c r="I49" s="8" t="s">
        <v>388</v>
      </c>
      <c r="J49" s="8" t="s">
        <v>291</v>
      </c>
      <c r="K49" s="8" t="s">
        <v>87</v>
      </c>
      <c r="L49" s="8" t="s">
        <v>88</v>
      </c>
      <c r="M49" s="8">
        <v>2332.55</v>
      </c>
      <c r="N49" s="8">
        <v>0</v>
      </c>
      <c r="O49" s="11">
        <v>2332.55</v>
      </c>
      <c r="P49" s="8" t="s">
        <v>43</v>
      </c>
      <c r="Q49" s="8" t="s">
        <v>52</v>
      </c>
      <c r="R49" s="8" t="s">
        <v>1863</v>
      </c>
      <c r="S49" s="8" t="s">
        <v>1864</v>
      </c>
      <c r="T49" s="8" t="s">
        <v>1864</v>
      </c>
      <c r="U49" s="8">
        <v>121.453619066596</v>
      </c>
      <c r="V49" s="8">
        <v>31.2429151320867</v>
      </c>
      <c r="W49" s="8"/>
      <c r="X49" s="15">
        <v>0.55</v>
      </c>
      <c r="Z49" s="15"/>
    </row>
    <row r="50" spans="1:26">
      <c r="A50" s="8">
        <v>4640</v>
      </c>
      <c r="B50" s="9">
        <v>44896</v>
      </c>
      <c r="C50" s="8" t="s">
        <v>71</v>
      </c>
      <c r="D50" s="8">
        <v>121.455928321736</v>
      </c>
      <c r="E50" s="8">
        <v>31.163149177406</v>
      </c>
      <c r="F50" s="8" t="s">
        <v>1272</v>
      </c>
      <c r="G50" s="8" t="s">
        <v>21</v>
      </c>
      <c r="H50" s="10">
        <v>6.33106060606061</v>
      </c>
      <c r="I50" s="8" t="s">
        <v>881</v>
      </c>
      <c r="J50" s="8" t="s">
        <v>291</v>
      </c>
      <c r="K50" s="8" t="s">
        <v>87</v>
      </c>
      <c r="L50" s="8" t="s">
        <v>88</v>
      </c>
      <c r="M50" s="8">
        <v>2523.54</v>
      </c>
      <c r="N50" s="8">
        <v>0</v>
      </c>
      <c r="O50" s="11">
        <v>2523.54</v>
      </c>
      <c r="P50" s="8" t="s">
        <v>43</v>
      </c>
      <c r="Q50" s="8" t="s">
        <v>13</v>
      </c>
      <c r="R50" s="8" t="s">
        <v>1865</v>
      </c>
      <c r="S50" s="8" t="s">
        <v>1866</v>
      </c>
      <c r="T50" s="8" t="s">
        <v>1866</v>
      </c>
      <c r="U50" s="8">
        <v>121.450640107726</v>
      </c>
      <c r="V50" s="8">
        <v>31.183918625348</v>
      </c>
      <c r="W50" s="8"/>
      <c r="X50" s="15">
        <v>3.27</v>
      </c>
      <c r="Z50" s="15"/>
    </row>
    <row r="51" spans="1:26">
      <c r="A51" s="8">
        <v>4689</v>
      </c>
      <c r="B51" s="9">
        <v>44896</v>
      </c>
      <c r="C51" s="8" t="s">
        <v>566</v>
      </c>
      <c r="D51" s="8">
        <v>121.4772355</v>
      </c>
      <c r="E51" s="8">
        <v>31.15562848</v>
      </c>
      <c r="F51" s="8" t="s">
        <v>1300</v>
      </c>
      <c r="G51" s="8" t="s">
        <v>21</v>
      </c>
      <c r="H51" s="10">
        <v>7.61</v>
      </c>
      <c r="I51" s="8" t="s">
        <v>574</v>
      </c>
      <c r="J51" s="8" t="s">
        <v>575</v>
      </c>
      <c r="K51" s="8" t="s">
        <v>206</v>
      </c>
      <c r="L51" s="8" t="s">
        <v>88</v>
      </c>
      <c r="M51" s="8">
        <v>647.73</v>
      </c>
      <c r="N51" s="8">
        <v>0</v>
      </c>
      <c r="O51" s="11">
        <v>647.73</v>
      </c>
      <c r="P51" s="8" t="s">
        <v>245</v>
      </c>
      <c r="Q51" s="8" t="s">
        <v>13</v>
      </c>
      <c r="R51" s="8" t="s">
        <v>1867</v>
      </c>
      <c r="S51" s="8" t="s">
        <v>1868</v>
      </c>
      <c r="T51" s="8" t="s">
        <v>1868</v>
      </c>
      <c r="U51" s="8">
        <v>121.426648396823</v>
      </c>
      <c r="V51" s="8">
        <v>31.195273519253</v>
      </c>
      <c r="W51" s="8"/>
      <c r="X51" s="15">
        <v>10.315</v>
      </c>
      <c r="Z51" s="15"/>
    </row>
    <row r="52" spans="1:26">
      <c r="A52" s="8">
        <v>4722</v>
      </c>
      <c r="B52" s="9">
        <v>44896</v>
      </c>
      <c r="C52" s="8" t="s">
        <v>1869</v>
      </c>
      <c r="D52" s="8">
        <v>121.433861756282</v>
      </c>
      <c r="E52" s="8">
        <v>31.2421296864194</v>
      </c>
      <c r="F52" s="8" t="s">
        <v>1543</v>
      </c>
      <c r="G52" s="8" t="s">
        <v>21</v>
      </c>
      <c r="H52" s="13">
        <v>7.79166666666667</v>
      </c>
      <c r="I52" s="8" t="s">
        <v>839</v>
      </c>
      <c r="J52" s="8" t="s">
        <v>86</v>
      </c>
      <c r="K52" s="8" t="s">
        <v>87</v>
      </c>
      <c r="L52" s="8" t="s">
        <v>88</v>
      </c>
      <c r="M52" s="8">
        <v>200</v>
      </c>
      <c r="N52" s="8" t="s">
        <v>1258</v>
      </c>
      <c r="O52" s="11">
        <v>200</v>
      </c>
      <c r="P52" s="8" t="s">
        <v>51</v>
      </c>
      <c r="Q52" s="8" t="s">
        <v>52</v>
      </c>
      <c r="R52" s="8" t="s">
        <v>1870</v>
      </c>
      <c r="S52" s="8" t="s">
        <v>279</v>
      </c>
      <c r="T52" s="8" t="s">
        <v>279</v>
      </c>
      <c r="U52" s="8">
        <v>121.523765309051</v>
      </c>
      <c r="V52" s="8">
        <v>31.2312788801666</v>
      </c>
      <c r="W52" s="8"/>
      <c r="X52" s="15">
        <v>11.205</v>
      </c>
      <c r="Z52" s="15"/>
    </row>
    <row r="53" spans="1:26">
      <c r="A53" s="8">
        <v>5773</v>
      </c>
      <c r="B53" s="9">
        <v>45323</v>
      </c>
      <c r="C53" s="8" t="s">
        <v>63</v>
      </c>
      <c r="D53" s="8">
        <v>121.4695908</v>
      </c>
      <c r="E53" s="8">
        <v>31.1724856</v>
      </c>
      <c r="F53" s="8" t="s">
        <v>1268</v>
      </c>
      <c r="G53" s="8" t="s">
        <v>21</v>
      </c>
      <c r="H53" s="10">
        <v>5.63888888888889</v>
      </c>
      <c r="I53" s="8" t="s">
        <v>112</v>
      </c>
      <c r="J53" s="8" t="s">
        <v>109</v>
      </c>
      <c r="K53" s="8" t="s">
        <v>87</v>
      </c>
      <c r="L53" s="8" t="s">
        <v>88</v>
      </c>
      <c r="M53" s="8">
        <v>430</v>
      </c>
      <c r="N53" s="8"/>
      <c r="O53" s="11">
        <v>430</v>
      </c>
      <c r="P53" s="8" t="s">
        <v>51</v>
      </c>
      <c r="Q53" s="8" t="s">
        <v>13</v>
      </c>
      <c r="R53" s="8" t="s">
        <v>1871</v>
      </c>
      <c r="S53" s="8" t="s">
        <v>1872</v>
      </c>
      <c r="T53" s="8" t="s">
        <v>1872</v>
      </c>
      <c r="U53" s="8">
        <v>121.362977859949</v>
      </c>
      <c r="V53" s="8">
        <v>31.2328802580056</v>
      </c>
      <c r="W53" s="8"/>
      <c r="X53" s="15">
        <v>16.965</v>
      </c>
      <c r="Z53" s="15"/>
    </row>
    <row r="54" spans="1:26">
      <c r="A54" s="8">
        <v>5759</v>
      </c>
      <c r="B54" s="9">
        <v>45376</v>
      </c>
      <c r="C54" s="8" t="s">
        <v>272</v>
      </c>
      <c r="D54" s="8">
        <v>121.4973757</v>
      </c>
      <c r="E54" s="8">
        <v>31.26621727</v>
      </c>
      <c r="F54" s="8" t="s">
        <v>1286</v>
      </c>
      <c r="G54" s="8" t="s">
        <v>21</v>
      </c>
      <c r="H54" s="13">
        <v>5.13333333333333</v>
      </c>
      <c r="I54" s="8" t="s">
        <v>977</v>
      </c>
      <c r="J54" s="8" t="s">
        <v>86</v>
      </c>
      <c r="K54" s="8" t="s">
        <v>87</v>
      </c>
      <c r="L54" s="8" t="s">
        <v>88</v>
      </c>
      <c r="M54" s="8">
        <v>2755</v>
      </c>
      <c r="N54" s="8"/>
      <c r="O54" s="11">
        <v>2755</v>
      </c>
      <c r="P54" s="8" t="s">
        <v>177</v>
      </c>
      <c r="Q54" s="8" t="s">
        <v>13</v>
      </c>
      <c r="R54" s="8" t="s">
        <v>1873</v>
      </c>
      <c r="S54" s="8" t="s">
        <v>1874</v>
      </c>
      <c r="T54" s="8" t="s">
        <v>1874</v>
      </c>
      <c r="U54" s="8">
        <v>121.464456674898</v>
      </c>
      <c r="V54" s="8">
        <v>31.3976114477178</v>
      </c>
      <c r="W54" s="8"/>
      <c r="X54" s="15">
        <v>18.36</v>
      </c>
      <c r="Z54" s="15"/>
    </row>
    <row r="55" spans="1:26">
      <c r="A55" s="8">
        <v>5991</v>
      </c>
      <c r="B55" s="9">
        <v>45381</v>
      </c>
      <c r="C55" s="8" t="s">
        <v>284</v>
      </c>
      <c r="D55" s="8">
        <v>121.52347150619</v>
      </c>
      <c r="E55" s="8">
        <v>31.2292266265612</v>
      </c>
      <c r="F55" s="8" t="s">
        <v>1257</v>
      </c>
      <c r="G55" s="8" t="s">
        <v>32</v>
      </c>
      <c r="H55" s="13">
        <v>10.5416666666667</v>
      </c>
      <c r="I55" s="8" t="s">
        <v>290</v>
      </c>
      <c r="J55" s="8" t="s">
        <v>291</v>
      </c>
      <c r="K55" s="8" t="s">
        <v>87</v>
      </c>
      <c r="L55" s="8" t="s">
        <v>88</v>
      </c>
      <c r="M55" s="8">
        <v>241</v>
      </c>
      <c r="N55" s="8"/>
      <c r="O55" s="11">
        <v>241</v>
      </c>
      <c r="P55" s="8" t="s">
        <v>51</v>
      </c>
      <c r="Q55" s="8" t="s">
        <v>13</v>
      </c>
      <c r="R55" s="8" t="s">
        <v>1875</v>
      </c>
      <c r="S55" s="8" t="s">
        <v>1876</v>
      </c>
      <c r="T55" s="8" t="s">
        <v>1876</v>
      </c>
      <c r="U55" s="8">
        <v>121.393212407121</v>
      </c>
      <c r="V55" s="8">
        <v>31.1703538531724</v>
      </c>
      <c r="W55" s="8"/>
      <c r="X55" s="15">
        <v>16.27</v>
      </c>
      <c r="Z55" s="15"/>
    </row>
    <row r="56" spans="1:26">
      <c r="A56" s="8">
        <v>5755</v>
      </c>
      <c r="B56" s="9">
        <v>45383</v>
      </c>
      <c r="C56" s="8" t="s">
        <v>802</v>
      </c>
      <c r="D56" s="8">
        <v>121.426265383847</v>
      </c>
      <c r="E56" s="8">
        <v>31.1595524400225</v>
      </c>
      <c r="F56" s="8" t="s">
        <v>1286</v>
      </c>
      <c r="G56" s="8" t="s">
        <v>21</v>
      </c>
      <c r="H56" s="13">
        <v>4.58333333333333</v>
      </c>
      <c r="I56" s="8" t="s">
        <v>803</v>
      </c>
      <c r="J56" s="8" t="s">
        <v>430</v>
      </c>
      <c r="K56" s="8" t="s">
        <v>430</v>
      </c>
      <c r="L56" s="8" t="s">
        <v>88</v>
      </c>
      <c r="M56" s="8">
        <v>3000</v>
      </c>
      <c r="N56" s="8"/>
      <c r="O56" s="11">
        <v>3000</v>
      </c>
      <c r="P56" s="8" t="s">
        <v>51</v>
      </c>
      <c r="Q56" s="8" t="s">
        <v>13</v>
      </c>
      <c r="R56" s="8" t="s">
        <v>1877</v>
      </c>
      <c r="S56" s="8" t="s">
        <v>1878</v>
      </c>
      <c r="T56" s="8" t="s">
        <v>1878</v>
      </c>
      <c r="U56" s="8">
        <v>121.39395761568</v>
      </c>
      <c r="V56" s="8">
        <v>31.1662728196475</v>
      </c>
      <c r="W56" s="8"/>
      <c r="X56" s="15">
        <v>4.67</v>
      </c>
      <c r="Z56" s="15"/>
    </row>
    <row r="57" spans="1:26">
      <c r="A57" s="8">
        <v>5815</v>
      </c>
      <c r="B57" s="9">
        <v>45383</v>
      </c>
      <c r="C57" s="8" t="s">
        <v>472</v>
      </c>
      <c r="D57" s="8">
        <v>121.433861756282</v>
      </c>
      <c r="E57" s="8">
        <v>31.2421296864194</v>
      </c>
      <c r="F57" s="8" t="s">
        <v>1543</v>
      </c>
      <c r="G57" s="8" t="s">
        <v>21</v>
      </c>
      <c r="H57" s="10">
        <v>4.75</v>
      </c>
      <c r="I57" s="8" t="s">
        <v>835</v>
      </c>
      <c r="J57" s="8" t="s">
        <v>255</v>
      </c>
      <c r="K57" s="8" t="s">
        <v>244</v>
      </c>
      <c r="L57" s="8" t="s">
        <v>88</v>
      </c>
      <c r="M57" s="8">
        <v>2214.18971505</v>
      </c>
      <c r="N57" s="8"/>
      <c r="O57" s="11">
        <v>2214.18971505</v>
      </c>
      <c r="P57" s="8" t="s">
        <v>212</v>
      </c>
      <c r="Q57" s="8" t="s">
        <v>52</v>
      </c>
      <c r="R57" s="8" t="s">
        <v>1879</v>
      </c>
      <c r="S57" s="8" t="s">
        <v>173</v>
      </c>
      <c r="T57" s="8" t="s">
        <v>173</v>
      </c>
      <c r="U57" s="8">
        <v>121.472319877932</v>
      </c>
      <c r="V57" s="8">
        <v>31.2135597378896</v>
      </c>
      <c r="W57" s="8"/>
      <c r="X57" s="15">
        <v>6.43</v>
      </c>
      <c r="Z57" s="15"/>
    </row>
    <row r="58" spans="1:26">
      <c r="A58" s="8">
        <v>5782</v>
      </c>
      <c r="B58" s="9">
        <v>45383</v>
      </c>
      <c r="C58" s="8" t="s">
        <v>1089</v>
      </c>
      <c r="D58" s="8">
        <v>121.4731661</v>
      </c>
      <c r="E58" s="8">
        <v>31.23296358</v>
      </c>
      <c r="F58" s="8" t="s">
        <v>1579</v>
      </c>
      <c r="G58" s="8" t="s">
        <v>32</v>
      </c>
      <c r="H58" s="18" t="s">
        <v>518</v>
      </c>
      <c r="I58" s="8" t="s">
        <v>1092</v>
      </c>
      <c r="J58" s="8" t="s">
        <v>255</v>
      </c>
      <c r="K58" s="8" t="s">
        <v>244</v>
      </c>
      <c r="L58" s="8" t="s">
        <v>88</v>
      </c>
      <c r="M58" s="8">
        <v>2100</v>
      </c>
      <c r="N58" s="8"/>
      <c r="O58" s="11">
        <v>2100</v>
      </c>
      <c r="P58" s="8" t="s">
        <v>51</v>
      </c>
      <c r="Q58" s="8" t="s">
        <v>13</v>
      </c>
      <c r="R58" s="8" t="s">
        <v>1880</v>
      </c>
      <c r="S58" s="8" t="s">
        <v>1881</v>
      </c>
      <c r="T58" s="8" t="s">
        <v>1881</v>
      </c>
      <c r="U58" s="8">
        <v>121.447544827282</v>
      </c>
      <c r="V58" s="8">
        <v>31.0245268106655</v>
      </c>
      <c r="W58" s="8"/>
      <c r="X58" s="15">
        <v>27.605</v>
      </c>
      <c r="Z58" s="15"/>
    </row>
    <row r="59" spans="1:26">
      <c r="A59" s="8">
        <v>5796</v>
      </c>
      <c r="B59" s="9">
        <v>45383</v>
      </c>
      <c r="C59" s="8" t="s">
        <v>779</v>
      </c>
      <c r="D59" s="8">
        <v>121.5581111</v>
      </c>
      <c r="E59" s="8">
        <v>31.2094874</v>
      </c>
      <c r="F59" s="8" t="s">
        <v>1419</v>
      </c>
      <c r="G59" s="8" t="s">
        <v>21</v>
      </c>
      <c r="H59" s="13">
        <v>6.23333333333333</v>
      </c>
      <c r="I59" s="8" t="s">
        <v>780</v>
      </c>
      <c r="J59" s="8" t="s">
        <v>255</v>
      </c>
      <c r="K59" s="8" t="s">
        <v>244</v>
      </c>
      <c r="L59" s="8" t="s">
        <v>88</v>
      </c>
      <c r="M59" s="8">
        <v>1900</v>
      </c>
      <c r="N59" s="8"/>
      <c r="O59" s="11">
        <v>1900</v>
      </c>
      <c r="P59" s="8" t="s">
        <v>43</v>
      </c>
      <c r="Q59" s="8" t="s">
        <v>13</v>
      </c>
      <c r="R59" s="8" t="s">
        <v>1882</v>
      </c>
      <c r="S59" s="8" t="s">
        <v>1883</v>
      </c>
      <c r="T59" s="8" t="s">
        <v>1883</v>
      </c>
      <c r="U59" s="8">
        <v>121.170240518695</v>
      </c>
      <c r="V59" s="8">
        <v>30.8956162581636</v>
      </c>
      <c r="W59" s="8"/>
      <c r="X59" s="15">
        <v>60.655</v>
      </c>
      <c r="Z59" s="15"/>
    </row>
    <row r="60" spans="1:26">
      <c r="A60" s="8">
        <v>5790</v>
      </c>
      <c r="B60" s="9">
        <v>45383</v>
      </c>
      <c r="C60" s="8" t="s">
        <v>579</v>
      </c>
      <c r="D60" s="8">
        <v>121.480547068049</v>
      </c>
      <c r="E60" s="8">
        <v>31.1528696927974</v>
      </c>
      <c r="F60" s="8" t="s">
        <v>1300</v>
      </c>
      <c r="G60" s="8" t="s">
        <v>21</v>
      </c>
      <c r="H60" s="10">
        <v>5.5</v>
      </c>
      <c r="I60" s="8" t="s">
        <v>586</v>
      </c>
      <c r="J60" s="8" t="s">
        <v>430</v>
      </c>
      <c r="K60" s="8" t="s">
        <v>430</v>
      </c>
      <c r="L60" s="8" t="s">
        <v>88</v>
      </c>
      <c r="M60" s="8">
        <v>1400</v>
      </c>
      <c r="N60" s="8"/>
      <c r="O60" s="11">
        <v>1400</v>
      </c>
      <c r="P60" s="8" t="s">
        <v>177</v>
      </c>
      <c r="Q60" s="8" t="s">
        <v>13</v>
      </c>
      <c r="R60" s="8" t="s">
        <v>1884</v>
      </c>
      <c r="S60" s="8" t="s">
        <v>1885</v>
      </c>
      <c r="T60" s="8" t="s">
        <v>1885</v>
      </c>
      <c r="U60" s="8">
        <v>121.59601620674</v>
      </c>
      <c r="V60" s="8">
        <v>31.1821848193613</v>
      </c>
      <c r="W60" s="8"/>
      <c r="X60" s="15">
        <v>13.295</v>
      </c>
      <c r="Z60" s="15"/>
    </row>
    <row r="61" spans="1:26">
      <c r="A61" s="8">
        <v>5776</v>
      </c>
      <c r="B61" s="9">
        <v>45383</v>
      </c>
      <c r="C61" s="8" t="s">
        <v>392</v>
      </c>
      <c r="D61" s="8">
        <v>121.469518982178</v>
      </c>
      <c r="E61" s="8">
        <v>31.2244524364872</v>
      </c>
      <c r="F61" s="8" t="s">
        <v>1334</v>
      </c>
      <c r="G61" s="8" t="s">
        <v>32</v>
      </c>
      <c r="H61" s="10">
        <v>6.51666666666667</v>
      </c>
      <c r="I61" s="8" t="s">
        <v>393</v>
      </c>
      <c r="J61" s="8" t="s">
        <v>394</v>
      </c>
      <c r="K61" s="8" t="s">
        <v>378</v>
      </c>
      <c r="L61" s="8" t="s">
        <v>88</v>
      </c>
      <c r="M61" s="8">
        <v>1100</v>
      </c>
      <c r="N61" s="8"/>
      <c r="O61" s="11">
        <v>1100</v>
      </c>
      <c r="P61" s="8" t="s">
        <v>177</v>
      </c>
      <c r="Q61" s="8" t="s">
        <v>13</v>
      </c>
      <c r="R61" s="8" t="s">
        <v>1886</v>
      </c>
      <c r="S61" s="8" t="s">
        <v>1887</v>
      </c>
      <c r="T61" s="8" t="s">
        <v>1887</v>
      </c>
      <c r="U61" s="8">
        <v>121.747914612306</v>
      </c>
      <c r="V61" s="8">
        <v>31.3686476167275</v>
      </c>
      <c r="W61" s="8"/>
      <c r="X61" s="15">
        <v>40.585</v>
      </c>
      <c r="Z61" s="15"/>
    </row>
    <row r="62" spans="1:26">
      <c r="A62" s="8">
        <v>5770</v>
      </c>
      <c r="B62" s="9">
        <v>45400</v>
      </c>
      <c r="C62" s="8" t="s">
        <v>782</v>
      </c>
      <c r="D62" s="8">
        <v>121.429883190022</v>
      </c>
      <c r="E62" s="8">
        <v>31.1964452654212</v>
      </c>
      <c r="F62" s="8" t="s">
        <v>1436</v>
      </c>
      <c r="G62" s="8" t="s">
        <v>32</v>
      </c>
      <c r="H62" s="13">
        <v>6.875</v>
      </c>
      <c r="I62" s="8" t="s">
        <v>790</v>
      </c>
      <c r="J62" s="8" t="s">
        <v>575</v>
      </c>
      <c r="K62" s="8" t="s">
        <v>206</v>
      </c>
      <c r="L62" s="8" t="s">
        <v>88</v>
      </c>
      <c r="M62" s="8">
        <v>3000</v>
      </c>
      <c r="N62" s="8"/>
      <c r="O62" s="11">
        <v>3000</v>
      </c>
      <c r="P62" s="8" t="s">
        <v>43</v>
      </c>
      <c r="Q62" s="8" t="s">
        <v>13</v>
      </c>
      <c r="R62" s="8" t="s">
        <v>1888</v>
      </c>
      <c r="S62" s="8" t="s">
        <v>1889</v>
      </c>
      <c r="T62" s="8" t="s">
        <v>1561</v>
      </c>
      <c r="U62" s="8">
        <v>121.411984157782</v>
      </c>
      <c r="V62" s="8">
        <v>31.2209209785675</v>
      </c>
      <c r="W62" s="8"/>
      <c r="X62" s="15">
        <v>5.115</v>
      </c>
      <c r="Z62" s="15"/>
    </row>
    <row r="63" spans="1:26">
      <c r="A63" s="8">
        <v>5766</v>
      </c>
      <c r="B63" s="9">
        <v>45412</v>
      </c>
      <c r="C63" s="8" t="s">
        <v>812</v>
      </c>
      <c r="D63" s="8">
        <v>121.4481391</v>
      </c>
      <c r="E63" s="8">
        <v>31.24794071</v>
      </c>
      <c r="F63" s="8" t="s">
        <v>1467</v>
      </c>
      <c r="G63" s="8" t="s">
        <v>21</v>
      </c>
      <c r="H63" s="13">
        <v>4.58333333333333</v>
      </c>
      <c r="I63" s="8" t="s">
        <v>813</v>
      </c>
      <c r="J63" s="8" t="s">
        <v>557</v>
      </c>
      <c r="K63" s="8" t="s">
        <v>378</v>
      </c>
      <c r="L63" s="8" t="s">
        <v>88</v>
      </c>
      <c r="M63" s="8">
        <v>1700</v>
      </c>
      <c r="N63" s="8"/>
      <c r="O63" s="11">
        <v>1700</v>
      </c>
      <c r="P63" s="8" t="s">
        <v>177</v>
      </c>
      <c r="Q63" s="8" t="s">
        <v>52</v>
      </c>
      <c r="R63" s="8" t="s">
        <v>1890</v>
      </c>
      <c r="S63" s="8" t="s">
        <v>1891</v>
      </c>
      <c r="T63" s="8" t="s">
        <v>1891</v>
      </c>
      <c r="U63" s="8">
        <v>121.453918871234</v>
      </c>
      <c r="V63" s="8">
        <v>31.1618823198626</v>
      </c>
      <c r="W63" s="8"/>
      <c r="X63" s="15">
        <v>11.265</v>
      </c>
      <c r="Z63" s="15"/>
    </row>
    <row r="64" spans="1:26">
      <c r="A64" s="8">
        <v>5842</v>
      </c>
      <c r="B64" s="9">
        <v>45412</v>
      </c>
      <c r="C64" s="8" t="s">
        <v>924</v>
      </c>
      <c r="D64" s="8">
        <v>121.4331372</v>
      </c>
      <c r="E64" s="8">
        <v>31.1968013</v>
      </c>
      <c r="F64" s="8" t="s">
        <v>1436</v>
      </c>
      <c r="G64" s="8" t="s">
        <v>32</v>
      </c>
      <c r="H64" s="13">
        <v>7.51666666666667</v>
      </c>
      <c r="I64" s="8" t="s">
        <v>928</v>
      </c>
      <c r="J64" s="8" t="s">
        <v>291</v>
      </c>
      <c r="K64" s="8" t="s">
        <v>87</v>
      </c>
      <c r="L64" s="8" t="s">
        <v>88</v>
      </c>
      <c r="M64" s="8">
        <v>300</v>
      </c>
      <c r="N64" s="8"/>
      <c r="O64" s="11">
        <v>300</v>
      </c>
      <c r="P64" s="8" t="s">
        <v>51</v>
      </c>
      <c r="Q64" s="8" t="s">
        <v>13</v>
      </c>
      <c r="R64" s="8" t="s">
        <v>1892</v>
      </c>
      <c r="S64" s="8" t="s">
        <v>1893</v>
      </c>
      <c r="T64" s="8" t="s">
        <v>1893</v>
      </c>
      <c r="U64" s="8">
        <v>121.374771394043</v>
      </c>
      <c r="V64" s="8">
        <v>31.2308098690668</v>
      </c>
      <c r="W64" s="8"/>
      <c r="X64" s="15">
        <v>8.695</v>
      </c>
      <c r="Z64" s="15"/>
    </row>
    <row r="65" spans="1:27">
      <c r="A65" s="8">
        <v>5869</v>
      </c>
      <c r="B65" s="9">
        <v>45413</v>
      </c>
      <c r="C65" s="8" t="s">
        <v>1210</v>
      </c>
      <c r="D65" s="8">
        <v>121.4690249</v>
      </c>
      <c r="E65" s="8">
        <v>31.22552789</v>
      </c>
      <c r="F65" s="8" t="s">
        <v>1334</v>
      </c>
      <c r="G65" s="8" t="s">
        <v>32</v>
      </c>
      <c r="H65" s="10">
        <v>8</v>
      </c>
      <c r="I65" s="8" t="s">
        <v>1211</v>
      </c>
      <c r="J65" s="8" t="s">
        <v>291</v>
      </c>
      <c r="K65" s="8" t="s">
        <v>87</v>
      </c>
      <c r="L65" s="8" t="s">
        <v>88</v>
      </c>
      <c r="M65" s="8">
        <v>783.27</v>
      </c>
      <c r="N65" s="8"/>
      <c r="O65" s="11">
        <v>783.27</v>
      </c>
      <c r="P65" s="8" t="s">
        <v>26</v>
      </c>
      <c r="Q65" s="8" t="s">
        <v>52</v>
      </c>
      <c r="R65" s="8" t="s">
        <v>1894</v>
      </c>
      <c r="S65" s="8" t="s">
        <v>1895</v>
      </c>
      <c r="T65" s="8" t="s">
        <v>1895</v>
      </c>
      <c r="U65" s="8">
        <v>121.523774538129</v>
      </c>
      <c r="V65" s="8">
        <v>31.2289020086575</v>
      </c>
      <c r="W65" s="8"/>
      <c r="X65" s="15">
        <v>6.55</v>
      </c>
      <c r="Z65" s="15"/>
    </row>
    <row r="66" spans="1:27">
      <c r="A66" s="8">
        <v>5922</v>
      </c>
      <c r="B66" s="9">
        <v>45434</v>
      </c>
      <c r="C66" s="8" t="s">
        <v>403</v>
      </c>
      <c r="D66" s="8">
        <v>121.454154040947</v>
      </c>
      <c r="E66" s="8">
        <v>31.24878673169</v>
      </c>
      <c r="F66" s="8" t="s">
        <v>1467</v>
      </c>
      <c r="G66" s="8" t="s">
        <v>21</v>
      </c>
      <c r="H66" s="13">
        <v>4.76666666666667</v>
      </c>
      <c r="I66" s="8" t="s">
        <v>418</v>
      </c>
      <c r="J66" s="8" t="s">
        <v>109</v>
      </c>
      <c r="K66" s="8" t="s">
        <v>87</v>
      </c>
      <c r="L66" s="8" t="s">
        <v>88</v>
      </c>
      <c r="M66" s="8">
        <v>592</v>
      </c>
      <c r="N66" s="8"/>
      <c r="O66" s="11">
        <v>592</v>
      </c>
      <c r="P66" s="8" t="s">
        <v>51</v>
      </c>
      <c r="Q66" s="8" t="s">
        <v>52</v>
      </c>
      <c r="R66" s="8" t="s">
        <v>1896</v>
      </c>
      <c r="S66" s="8" t="s">
        <v>1868</v>
      </c>
      <c r="T66" s="8" t="s">
        <v>1868</v>
      </c>
      <c r="U66" s="8">
        <v>121.426535241067</v>
      </c>
      <c r="V66" s="8">
        <v>31.1950624782478</v>
      </c>
      <c r="W66" s="8"/>
      <c r="X66" s="15">
        <v>9.2</v>
      </c>
      <c r="Z66" s="15"/>
    </row>
    <row r="67" spans="1:27">
      <c r="A67" s="8">
        <v>5895</v>
      </c>
      <c r="B67" s="9">
        <v>45442</v>
      </c>
      <c r="C67" s="8" t="s">
        <v>462</v>
      </c>
      <c r="D67" s="8">
        <v>121.4358335038</v>
      </c>
      <c r="E67" s="8">
        <v>31.2431872063</v>
      </c>
      <c r="F67" s="8" t="s">
        <v>1543</v>
      </c>
      <c r="G67" s="8" t="s">
        <v>21</v>
      </c>
      <c r="H67" s="13">
        <v>4.76666666666667</v>
      </c>
      <c r="I67" s="8" t="s">
        <v>1242</v>
      </c>
      <c r="J67" s="8" t="s">
        <v>243</v>
      </c>
      <c r="K67" s="8" t="s">
        <v>244</v>
      </c>
      <c r="L67" s="8" t="s">
        <v>88</v>
      </c>
      <c r="M67" s="8">
        <v>2000</v>
      </c>
      <c r="N67" s="8"/>
      <c r="O67" s="11">
        <v>2000</v>
      </c>
      <c r="P67" s="8" t="s">
        <v>26</v>
      </c>
      <c r="Q67" s="8" t="s">
        <v>13</v>
      </c>
      <c r="R67" s="8" t="s">
        <v>1897</v>
      </c>
      <c r="S67" s="8" t="s">
        <v>1898</v>
      </c>
      <c r="T67" s="8" t="s">
        <v>1898</v>
      </c>
      <c r="U67" s="8">
        <v>121.319055605627</v>
      </c>
      <c r="V67" s="8">
        <v>31.2974677468026</v>
      </c>
      <c r="W67" s="8"/>
      <c r="X67" s="15">
        <v>15.445</v>
      </c>
      <c r="Z67" s="15"/>
    </row>
    <row r="68" spans="1:27">
      <c r="A68" s="8">
        <v>5917</v>
      </c>
      <c r="B68" s="9">
        <v>45444</v>
      </c>
      <c r="C68" s="8" t="s">
        <v>396</v>
      </c>
      <c r="D68" s="8">
        <v>121.484158</v>
      </c>
      <c r="E68" s="8">
        <v>31.247005</v>
      </c>
      <c r="F68" s="8" t="s">
        <v>1312</v>
      </c>
      <c r="G68" s="8" t="s">
        <v>21</v>
      </c>
      <c r="H68" s="13">
        <v>5.59166666666667</v>
      </c>
      <c r="I68" s="8" t="s">
        <v>400</v>
      </c>
      <c r="J68" s="8" t="s">
        <v>109</v>
      </c>
      <c r="K68" s="8" t="s">
        <v>87</v>
      </c>
      <c r="L68" s="8" t="s">
        <v>88</v>
      </c>
      <c r="M68" s="8">
        <v>1083</v>
      </c>
      <c r="N68" s="8"/>
      <c r="O68" s="11">
        <v>1083</v>
      </c>
      <c r="P68" s="8" t="s">
        <v>26</v>
      </c>
      <c r="Q68" s="8" t="s">
        <v>13</v>
      </c>
      <c r="R68" s="8" t="s">
        <v>1899</v>
      </c>
      <c r="S68" s="8" t="s">
        <v>1900</v>
      </c>
      <c r="T68" s="8" t="s">
        <v>1900</v>
      </c>
      <c r="U68" s="8">
        <v>121.509115379638</v>
      </c>
      <c r="V68" s="8">
        <v>31.3021642488772</v>
      </c>
      <c r="W68" s="8"/>
      <c r="X68" s="15">
        <v>7.63</v>
      </c>
      <c r="Z68" s="15"/>
    </row>
    <row r="69" spans="1:27">
      <c r="A69" s="8">
        <v>5885</v>
      </c>
      <c r="B69" s="9">
        <v>45447</v>
      </c>
      <c r="C69" s="8" t="s">
        <v>555</v>
      </c>
      <c r="D69" s="8">
        <v>121.4767864</v>
      </c>
      <c r="E69" s="8">
        <v>31.16174751</v>
      </c>
      <c r="F69" s="8" t="s">
        <v>1300</v>
      </c>
      <c r="G69" s="8" t="s">
        <v>21</v>
      </c>
      <c r="H69" s="10">
        <v>5.95833333333333</v>
      </c>
      <c r="I69" s="8" t="s">
        <v>556</v>
      </c>
      <c r="J69" s="8" t="s">
        <v>557</v>
      </c>
      <c r="K69" s="8" t="s">
        <v>378</v>
      </c>
      <c r="L69" s="8" t="s">
        <v>88</v>
      </c>
      <c r="M69" s="8">
        <v>2000</v>
      </c>
      <c r="N69" s="8"/>
      <c r="O69" s="11">
        <v>2000</v>
      </c>
      <c r="P69" s="8" t="s">
        <v>240</v>
      </c>
      <c r="Q69" s="8" t="s">
        <v>52</v>
      </c>
      <c r="R69" s="8" t="s">
        <v>1901</v>
      </c>
      <c r="S69" s="8" t="s">
        <v>1902</v>
      </c>
      <c r="T69" s="8" t="s">
        <v>637</v>
      </c>
      <c r="U69" s="8">
        <v>121.457467393027</v>
      </c>
      <c r="V69" s="8">
        <v>31.237759584108</v>
      </c>
      <c r="W69" s="8"/>
      <c r="X69" s="15">
        <v>10.56</v>
      </c>
      <c r="Z69" s="15"/>
    </row>
    <row r="70" spans="1:27">
      <c r="A70" s="8">
        <v>5891</v>
      </c>
      <c r="B70" s="9">
        <v>45448</v>
      </c>
      <c r="C70" s="8" t="s">
        <v>516</v>
      </c>
      <c r="D70" s="8">
        <v>121.475059396253</v>
      </c>
      <c r="E70" s="8">
        <v>31.2447779044237</v>
      </c>
      <c r="F70" s="8" t="s">
        <v>1529</v>
      </c>
      <c r="G70" s="8" t="s">
        <v>21</v>
      </c>
      <c r="H70" s="13">
        <v>5.86666666666667</v>
      </c>
      <c r="I70" s="8" t="s">
        <v>1024</v>
      </c>
      <c r="J70" s="8" t="s">
        <v>557</v>
      </c>
      <c r="K70" s="8" t="s">
        <v>378</v>
      </c>
      <c r="L70" s="8" t="s">
        <v>88</v>
      </c>
      <c r="M70" s="8">
        <v>2400</v>
      </c>
      <c r="N70" s="8"/>
      <c r="O70" s="11">
        <v>2400</v>
      </c>
      <c r="P70" s="8" t="s">
        <v>26</v>
      </c>
      <c r="Q70" s="8" t="s">
        <v>52</v>
      </c>
      <c r="R70" s="8" t="s">
        <v>1901</v>
      </c>
      <c r="S70" s="8" t="s">
        <v>1903</v>
      </c>
      <c r="T70" s="8" t="s">
        <v>637</v>
      </c>
      <c r="U70" s="8">
        <v>121.457467393027</v>
      </c>
      <c r="V70" s="8">
        <v>31.237759584108</v>
      </c>
      <c r="W70" s="8"/>
      <c r="X70" s="15">
        <v>2.52</v>
      </c>
      <c r="Z70" s="15"/>
    </row>
    <row r="71" spans="1:27">
      <c r="A71" s="8">
        <v>6010</v>
      </c>
      <c r="B71" s="9">
        <v>45473</v>
      </c>
      <c r="C71" s="8" t="s">
        <v>71</v>
      </c>
      <c r="D71" s="8">
        <v>121.455928321736</v>
      </c>
      <c r="E71" s="8">
        <v>31.163149177406</v>
      </c>
      <c r="F71" s="8" t="s">
        <v>1272</v>
      </c>
      <c r="G71" s="8" t="s">
        <v>21</v>
      </c>
      <c r="H71" s="13">
        <v>6.875</v>
      </c>
      <c r="I71" s="8" t="s">
        <v>879</v>
      </c>
      <c r="J71" s="8" t="s">
        <v>243</v>
      </c>
      <c r="K71" s="8" t="s">
        <v>244</v>
      </c>
      <c r="L71" s="8" t="s">
        <v>88</v>
      </c>
      <c r="M71" s="8">
        <v>2400</v>
      </c>
      <c r="N71" s="8"/>
      <c r="O71" s="11">
        <v>2400</v>
      </c>
      <c r="P71" s="8" t="s">
        <v>43</v>
      </c>
      <c r="Q71" s="8" t="s">
        <v>13</v>
      </c>
      <c r="R71" s="8" t="s">
        <v>1904</v>
      </c>
      <c r="S71" s="8" t="s">
        <v>1905</v>
      </c>
      <c r="T71" s="8" t="s">
        <v>1905</v>
      </c>
      <c r="U71" s="8">
        <v>121.452859561076</v>
      </c>
      <c r="V71" s="8">
        <v>31.1665424701127</v>
      </c>
      <c r="W71" s="8"/>
      <c r="X71" s="15">
        <v>1.055</v>
      </c>
      <c r="Z71" s="15"/>
    </row>
    <row r="72" spans="1:27">
      <c r="A72" s="8">
        <v>6078</v>
      </c>
      <c r="B72" s="9">
        <v>45474</v>
      </c>
      <c r="C72" s="8" t="s">
        <v>935</v>
      </c>
      <c r="D72" s="8">
        <v>121.454770440836</v>
      </c>
      <c r="E72" s="8">
        <v>31.1683868482641</v>
      </c>
      <c r="F72" s="8" t="s">
        <v>1272</v>
      </c>
      <c r="G72" s="8" t="s">
        <v>21</v>
      </c>
      <c r="H72" s="13">
        <v>7.79166666666667</v>
      </c>
      <c r="I72" s="8" t="s">
        <v>936</v>
      </c>
      <c r="J72" s="8"/>
      <c r="K72" s="8" t="e">
        <v>#N/A</v>
      </c>
      <c r="L72" s="8" t="s">
        <v>88</v>
      </c>
      <c r="M72" s="8">
        <v>2680</v>
      </c>
      <c r="N72" s="8"/>
      <c r="O72" s="11">
        <v>2680</v>
      </c>
      <c r="P72" s="8" t="s">
        <v>26</v>
      </c>
      <c r="Q72" s="8" t="s">
        <v>13</v>
      </c>
      <c r="R72" s="8" t="s">
        <v>1906</v>
      </c>
      <c r="S72" s="8" t="s">
        <v>1907</v>
      </c>
      <c r="T72" s="8" t="s">
        <v>1908</v>
      </c>
      <c r="U72" s="8">
        <v>121.457391909684</v>
      </c>
      <c r="V72" s="8">
        <v>31.1922075828834</v>
      </c>
      <c r="W72" s="8"/>
      <c r="X72" s="15">
        <v>3.685</v>
      </c>
      <c r="Z72" s="15"/>
    </row>
    <row r="73" spans="1:27">
      <c r="A73" s="8">
        <v>6068</v>
      </c>
      <c r="B73" s="9">
        <v>45474</v>
      </c>
      <c r="C73" s="8" t="s">
        <v>869</v>
      </c>
      <c r="D73" s="8">
        <v>121.5263734</v>
      </c>
      <c r="E73" s="8">
        <v>31.22682611</v>
      </c>
      <c r="F73" s="8" t="s">
        <v>1257</v>
      </c>
      <c r="G73" s="8" t="s">
        <v>32</v>
      </c>
      <c r="H73" s="13">
        <v>5.95833333333333</v>
      </c>
      <c r="I73" s="8" t="s">
        <v>1087</v>
      </c>
      <c r="J73" s="8" t="s">
        <v>109</v>
      </c>
      <c r="K73" s="8" t="s">
        <v>87</v>
      </c>
      <c r="L73" s="8" t="s">
        <v>88</v>
      </c>
      <c r="M73" s="8">
        <v>2400</v>
      </c>
      <c r="N73" s="8"/>
      <c r="O73" s="11">
        <v>2400</v>
      </c>
      <c r="P73" s="8" t="s">
        <v>26</v>
      </c>
      <c r="Q73" s="8" t="s">
        <v>52</v>
      </c>
      <c r="R73" s="8" t="s">
        <v>1909</v>
      </c>
      <c r="S73" s="8" t="s">
        <v>1910</v>
      </c>
      <c r="T73" s="8" t="s">
        <v>1910</v>
      </c>
      <c r="U73" s="8">
        <v>121.500953885877</v>
      </c>
      <c r="V73" s="8">
        <v>31.2355435404947</v>
      </c>
      <c r="W73" s="8"/>
      <c r="X73" s="15">
        <v>3.48</v>
      </c>
      <c r="Z73" s="15"/>
    </row>
    <row r="74" spans="1:27">
      <c r="A74" s="8">
        <v>6020</v>
      </c>
      <c r="B74" s="9">
        <v>45474</v>
      </c>
      <c r="C74" s="8" t="s">
        <v>903</v>
      </c>
      <c r="D74" s="8">
        <v>121.417465034612</v>
      </c>
      <c r="E74" s="8">
        <v>31.1997373474495</v>
      </c>
      <c r="F74" s="8" t="s">
        <v>1286</v>
      </c>
      <c r="G74" s="8" t="s">
        <v>32</v>
      </c>
      <c r="H74" s="13">
        <v>6.875</v>
      </c>
      <c r="I74" s="8" t="s">
        <v>261</v>
      </c>
      <c r="J74" s="8" t="s">
        <v>109</v>
      </c>
      <c r="K74" s="8" t="s">
        <v>87</v>
      </c>
      <c r="L74" s="8" t="s">
        <v>88</v>
      </c>
      <c r="M74" s="8">
        <v>1213</v>
      </c>
      <c r="N74" s="8"/>
      <c r="O74" s="11">
        <v>1213</v>
      </c>
      <c r="P74" s="8" t="s">
        <v>26</v>
      </c>
      <c r="Q74" s="8" t="s">
        <v>13</v>
      </c>
      <c r="R74" s="8" t="s">
        <v>1911</v>
      </c>
      <c r="S74" s="8" t="s">
        <v>1912</v>
      </c>
      <c r="T74" s="8" t="s">
        <v>1912</v>
      </c>
      <c r="U74" s="8">
        <v>121.351362487145</v>
      </c>
      <c r="V74" s="8">
        <v>31.2276118332625</v>
      </c>
      <c r="W74" s="8"/>
      <c r="X74" s="15">
        <v>8.25</v>
      </c>
      <c r="Z74" s="15"/>
    </row>
    <row r="75" spans="1:27">
      <c r="A75" s="8">
        <v>6097</v>
      </c>
      <c r="B75" s="9">
        <v>45474</v>
      </c>
      <c r="C75" s="8" t="s">
        <v>462</v>
      </c>
      <c r="D75" s="8">
        <v>121.4358335038</v>
      </c>
      <c r="E75" s="8">
        <v>31.2431872063</v>
      </c>
      <c r="F75" s="8" t="s">
        <v>1543</v>
      </c>
      <c r="G75" s="8" t="s">
        <v>21</v>
      </c>
      <c r="H75" s="10">
        <v>5.15555555555556</v>
      </c>
      <c r="I75" s="8" t="s">
        <v>1228</v>
      </c>
      <c r="J75" s="8" t="s">
        <v>557</v>
      </c>
      <c r="K75" s="8" t="s">
        <v>378</v>
      </c>
      <c r="L75" s="8" t="s">
        <v>88</v>
      </c>
      <c r="M75" s="8">
        <v>500</v>
      </c>
      <c r="N75" s="8"/>
      <c r="O75" s="11">
        <v>500</v>
      </c>
      <c r="P75" s="8" t="s">
        <v>26</v>
      </c>
      <c r="Q75" s="8" t="s">
        <v>13</v>
      </c>
      <c r="R75" s="8" t="s">
        <v>1913</v>
      </c>
      <c r="S75" s="8" t="s">
        <v>1914</v>
      </c>
      <c r="T75" s="8" t="s">
        <v>1914</v>
      </c>
      <c r="U75" s="8">
        <v>121.445609180976</v>
      </c>
      <c r="V75" s="8">
        <v>31.23197370267</v>
      </c>
      <c r="W75" s="8"/>
      <c r="X75" s="15">
        <v>1.82</v>
      </c>
      <c r="Z75" s="15"/>
    </row>
    <row r="76" spans="1:27">
      <c r="A76" s="8">
        <v>6083</v>
      </c>
      <c r="B76" s="9">
        <v>45504</v>
      </c>
      <c r="C76" s="8" t="s">
        <v>671</v>
      </c>
      <c r="D76" s="8">
        <v>121.500775190549</v>
      </c>
      <c r="E76" s="8">
        <v>31.2541696781424</v>
      </c>
      <c r="F76" s="8" t="s">
        <v>1312</v>
      </c>
      <c r="G76" s="8" t="s">
        <v>21</v>
      </c>
      <c r="H76" s="10">
        <v>6.80277777777778</v>
      </c>
      <c r="I76" s="8" t="s">
        <v>678</v>
      </c>
      <c r="J76" s="8" t="s">
        <v>109</v>
      </c>
      <c r="K76" s="8" t="s">
        <v>87</v>
      </c>
      <c r="L76" s="8" t="s">
        <v>88</v>
      </c>
      <c r="M76" s="8">
        <v>1200</v>
      </c>
      <c r="N76" s="8"/>
      <c r="O76" s="11">
        <v>1200</v>
      </c>
      <c r="P76" s="8" t="s">
        <v>26</v>
      </c>
      <c r="Q76" s="8" t="s">
        <v>13</v>
      </c>
      <c r="R76" s="8" t="s">
        <v>1915</v>
      </c>
      <c r="S76" s="8" t="s">
        <v>1916</v>
      </c>
      <c r="T76" s="8" t="s">
        <v>1916</v>
      </c>
      <c r="U76" s="8">
        <v>121.481729625649</v>
      </c>
      <c r="V76" s="8">
        <v>31.3237386386068</v>
      </c>
      <c r="W76" s="8"/>
      <c r="X76" s="15">
        <v>9.35</v>
      </c>
      <c r="Z76" s="15"/>
    </row>
    <row r="77" spans="1:27">
      <c r="A77" s="8">
        <v>6084</v>
      </c>
      <c r="B77" s="9">
        <v>45505</v>
      </c>
      <c r="C77" s="8" t="s">
        <v>1009</v>
      </c>
      <c r="D77" s="8">
        <v>121.4592</v>
      </c>
      <c r="E77" s="8">
        <v>31.1628</v>
      </c>
      <c r="F77" s="8" t="s">
        <v>1272</v>
      </c>
      <c r="G77" s="8" t="s">
        <v>21</v>
      </c>
      <c r="H77" s="13">
        <v>4.58333333333333</v>
      </c>
      <c r="I77" s="8" t="s">
        <v>1010</v>
      </c>
      <c r="J77" s="8" t="s">
        <v>575</v>
      </c>
      <c r="K77" s="8" t="s">
        <v>206</v>
      </c>
      <c r="L77" s="8" t="s">
        <v>88</v>
      </c>
      <c r="M77" s="8">
        <v>10000</v>
      </c>
      <c r="N77" s="8"/>
      <c r="O77" s="11">
        <v>10000</v>
      </c>
      <c r="P77" s="8" t="s">
        <v>43</v>
      </c>
      <c r="Q77" s="8" t="s">
        <v>13</v>
      </c>
      <c r="R77" s="8" t="s">
        <v>1917</v>
      </c>
      <c r="S77" s="8" t="s">
        <v>1918</v>
      </c>
      <c r="T77" s="8" t="s">
        <v>1918</v>
      </c>
      <c r="U77" s="8">
        <v>121.459245221318</v>
      </c>
      <c r="V77" s="8">
        <v>31.1606407341725</v>
      </c>
      <c r="W77" s="8"/>
      <c r="X77" s="15">
        <v>0.495</v>
      </c>
      <c r="Z77" s="15"/>
    </row>
    <row r="79" spans="1:27">
      <c r="H79" s="20" t="s">
        <v>1476</v>
      </c>
      <c r="I79" s="21"/>
      <c r="J79" s="21"/>
      <c r="R79" t="s">
        <v>13</v>
      </c>
      <c r="S79" t="s">
        <v>1478</v>
      </c>
      <c r="T79" t="s">
        <v>1479</v>
      </c>
      <c r="Y79" s="24" t="s">
        <v>1480</v>
      </c>
      <c r="Z79" s="25">
        <f>COUNTIF($X$2:$X$77,"&lt;2")</f>
        <v>11</v>
      </c>
      <c r="AA79" s="26">
        <f>Z79/$Z$89</f>
        <v>0.144736842105263</v>
      </c>
    </row>
    <row r="80" spans="1:27">
      <c r="H80" s="22" t="s">
        <v>1477</v>
      </c>
      <c r="I80" s="21">
        <f>COUNTIF($H$2:$H$77,"&lt;=5")</f>
        <v>20</v>
      </c>
      <c r="J80" s="23">
        <f>I80/$I$85</f>
        <v>0.263157894736842</v>
      </c>
      <c r="R80" t="s">
        <v>13</v>
      </c>
      <c r="S80">
        <v>63</v>
      </c>
      <c r="T80" s="27">
        <f>S80/S81</f>
        <v>0.828947368421053</v>
      </c>
      <c r="Y80" s="24" t="s">
        <v>1482</v>
      </c>
      <c r="Z80" s="24">
        <f>COUNTIF($X$2:$X$77,"&gt;=2")-COUNTIF($X$2:$X$77,"&gt;=4")</f>
        <v>19</v>
      </c>
      <c r="AA80" s="26">
        <f t="shared" ref="AA80:AA88" si="0">Z80/$Z$89</f>
        <v>0.25</v>
      </c>
    </row>
    <row r="81" spans="8:27">
      <c r="H81" s="22" t="s">
        <v>1481</v>
      </c>
      <c r="I81" s="21">
        <f>COUNTIF($H$2:$H$77,"&gt;=5")-COUNTIF($H$2:$H$77,"&gt;=7")</f>
        <v>37</v>
      </c>
      <c r="J81" s="23">
        <f>I81/$I$85</f>
        <v>0.486842105263158</v>
      </c>
      <c r="S81">
        <v>76</v>
      </c>
      <c r="Y81" s="24" t="s">
        <v>1484</v>
      </c>
      <c r="Z81" s="24">
        <f>COUNTIF($X$2:$X$77,"&gt;=4")-COUNTIF($X$2:$X$77,"&gt;=6")</f>
        <v>6</v>
      </c>
      <c r="AA81" s="26">
        <f t="shared" si="0"/>
        <v>0.0789473684210526</v>
      </c>
    </row>
    <row r="82" spans="8:27">
      <c r="H82" s="22" t="s">
        <v>1483</v>
      </c>
      <c r="I82" s="21">
        <f>COUNTIF($H$2:$H$77,"&gt;=7")-COUNTIF($H$2:$H$77,"&gt;=9")</f>
        <v>14</v>
      </c>
      <c r="J82" s="23">
        <f>I82/$I$85</f>
        <v>0.184210526315789</v>
      </c>
      <c r="Y82" s="24" t="s">
        <v>1486</v>
      </c>
      <c r="Z82" s="24">
        <f>COUNTIF($X$2:$X$77,"&gt;=6")-COUNTIF($X$2:$X$77,"&gt;=8")</f>
        <v>8</v>
      </c>
      <c r="AA82" s="26">
        <f t="shared" si="0"/>
        <v>0.105263157894737</v>
      </c>
    </row>
    <row r="83" spans="8:27">
      <c r="H83" s="22" t="s">
        <v>1485</v>
      </c>
      <c r="I83" s="21">
        <f>COUNTIF($H$2:$H$77,"&gt;=9")-COUNTIF($H$2:$H$77,"&gt;=11")</f>
        <v>5</v>
      </c>
      <c r="J83" s="23">
        <f>I83/$I$85</f>
        <v>0.0657894736842105</v>
      </c>
      <c r="R83" t="s">
        <v>1490</v>
      </c>
      <c r="S83" s="26">
        <f>S80/477</f>
        <v>0.132075471698113</v>
      </c>
      <c r="Y83" s="24" t="s">
        <v>1488</v>
      </c>
      <c r="Z83" s="24">
        <f>COUNTIF($X$2:$X$77,"&gt;=8")-COUNTIF($X$2:$X$77,"&gt;=10")</f>
        <v>6</v>
      </c>
      <c r="AA83" s="26">
        <f t="shared" si="0"/>
        <v>0.0789473684210526</v>
      </c>
    </row>
    <row r="84" ht="14.5" spans="8:27">
      <c r="H84" s="22" t="s">
        <v>1487</v>
      </c>
      <c r="I84" s="21">
        <f>COUNTIF($H$2:$H$77,"&gt;=11")</f>
        <v>0</v>
      </c>
      <c r="J84" s="23">
        <f>I84/$I$85</f>
        <v>0</v>
      </c>
      <c r="Y84" s="24" t="s">
        <v>1489</v>
      </c>
      <c r="Z84" s="24">
        <f>COUNTIF($X$2:$X$77,"&gt;=10")-COUNTIF($X$2:$X$77,"&gt;=12")</f>
        <v>9</v>
      </c>
      <c r="AA84" s="26">
        <f t="shared" si="0"/>
        <v>0.118421052631579</v>
      </c>
    </row>
    <row r="85" spans="8:27">
      <c r="I85">
        <f>SUM(I80:I84)</f>
        <v>76</v>
      </c>
      <c r="J85">
        <f>SUM(J80:J84)</f>
        <v>1</v>
      </c>
      <c r="Y85" s="24" t="s">
        <v>1491</v>
      </c>
      <c r="Z85" s="24">
        <f>COUNTIF($X$2:$X$77,"&gt;=12")-COUNTIF($X$2:$X$77,"&gt;=14")</f>
        <v>3</v>
      </c>
      <c r="AA85" s="26">
        <f t="shared" si="0"/>
        <v>0.0394736842105263</v>
      </c>
    </row>
    <row r="86" spans="8:27">
      <c r="Y86" s="24" t="s">
        <v>1492</v>
      </c>
      <c r="Z86" s="24">
        <f>COUNTIF($X$2:$X$77,"&gt;=14")-COUNTIF($X$2:$X$77,"&gt;=16")</f>
        <v>3</v>
      </c>
      <c r="AA86" s="26">
        <f t="shared" si="0"/>
        <v>0.0394736842105263</v>
      </c>
    </row>
    <row r="87" spans="8:27">
      <c r="Y87" s="24" t="s">
        <v>1493</v>
      </c>
      <c r="Z87" s="24">
        <f>COUNTIF($X$2:$X$77,"&gt;=16")-COUNTIF($X$2:$X$77,"&gt;=18")</f>
        <v>4</v>
      </c>
      <c r="AA87" s="26">
        <f t="shared" si="0"/>
        <v>0.0526315789473684</v>
      </c>
    </row>
    <row r="88" spans="8:27">
      <c r="Y88" s="24" t="s">
        <v>1494</v>
      </c>
      <c r="Z88" s="24">
        <f>COUNTIF($X$2:$X$77,"&gt;=18")</f>
        <v>7</v>
      </c>
      <c r="AA88" s="26">
        <f t="shared" si="0"/>
        <v>0.0921052631578947</v>
      </c>
    </row>
    <row r="89" spans="8:27">
      <c r="Z89">
        <f>SUM(Z79:Z88)</f>
        <v>76</v>
      </c>
      <c r="AA89">
        <f>SUM(AA79:AA88)</f>
        <v>1</v>
      </c>
    </row>
  </sheetData>
  <autoFilter xmlns:etc="http://www.wps.cn/officeDocument/2017/etCustomData" ref="A1:X77" etc:filterBottomFollowUsedRange="0">
    <extLst/>
  </autoFilter>
  <conditionalFormatting sqref="A2 A3 A4:A5 A6 A7 A8:A9 A10 A11 A12 A13 A14 A15 A16 A17 A18:A21 A22:A23 A24 A25 A26 A27 A28 A29 A30 A31 A32 A33 A34 A35 A36 A37 A38 A39 A40:A41 A42 A43 A44 A45 A46 A47:A49 A50 A51 A52 A53 A54 A55 A56 A57:A60 A61 A62 A63 A64 A65 A66 A67 A68 A69:A70 A71 A72:A73 A74 A75 A76 A77">
    <cfRule type="duplicateValues" dxfId="0" priority="2"/>
  </conditionalFormatting>
  <conditionalFormatting sqref="I2 I3 I4:I5 I6 I7 I8:I9 I10 I11 I12 I13 I14 I15 I16 I17 I18:I21 I22:I23 I24 I25 I26 I27 I28 I29 I30 I31 I32 I33 I34 I35 I36 I37 I38 I39 I40:I41 I42 I43 I44 I45 I46 I47:I49 I50 I51 I52 I53 I54 I55 I56 I57:I60 I61 I62 I63 I64 I65 I66 I67 I68 I69:I70 I71 I72:I73 I74 I75 I76 I77">
    <cfRule type="duplicateValues" dxfId="0" priority="1"/>
  </conditionalFormatting>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68"/>
  <sheetViews>
    <sheetView topLeftCell="F45" workbookViewId="0">
      <selection activeCell="F33" sqref="F33"/>
    </sheetView>
  </sheetViews>
  <sheetFormatPr defaultColWidth="8.63333333333333" defaultRowHeight="14"/>
  <sheetData>
    <row r="1" s="1" customFormat="1" ht="70" spans="1:52 16365:16384">
      <c r="A1" s="2" t="s">
        <v>1244</v>
      </c>
      <c r="B1" s="3" t="s">
        <v>1245</v>
      </c>
      <c r="C1" s="4" t="s">
        <v>1</v>
      </c>
      <c r="D1" s="5" t="s">
        <v>1246</v>
      </c>
      <c r="E1" s="5" t="s">
        <v>1247</v>
      </c>
      <c r="F1" s="4" t="s">
        <v>1248</v>
      </c>
      <c r="G1" s="4" t="s">
        <v>4</v>
      </c>
      <c r="H1" s="4" t="s">
        <v>5</v>
      </c>
      <c r="I1" s="6" t="s">
        <v>6</v>
      </c>
      <c r="J1" s="6" t="s">
        <v>7</v>
      </c>
      <c r="K1" s="6" t="s">
        <v>8</v>
      </c>
      <c r="L1" s="6" t="s">
        <v>9</v>
      </c>
      <c r="M1" s="4" t="s">
        <v>10</v>
      </c>
      <c r="N1" s="4" t="s">
        <v>1249</v>
      </c>
      <c r="O1" s="4" t="s">
        <v>11</v>
      </c>
      <c r="P1" s="4" t="s">
        <v>12</v>
      </c>
      <c r="Q1" s="6" t="s">
        <v>13</v>
      </c>
      <c r="R1" s="4" t="s">
        <v>1250</v>
      </c>
      <c r="S1" s="4" t="s">
        <v>1251</v>
      </c>
      <c r="T1" s="4" t="s">
        <v>1252</v>
      </c>
      <c r="U1" s="4" t="s">
        <v>1253</v>
      </c>
      <c r="V1" s="4" t="s">
        <v>1254</v>
      </c>
      <c r="W1" s="4" t="s">
        <v>1255</v>
      </c>
      <c r="X1" s="7" t="s">
        <v>1256</v>
      </c>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XEK1"/>
      <c r="XEL1"/>
      <c r="XEM1"/>
      <c r="XEN1"/>
      <c r="XEO1"/>
      <c r="XEP1"/>
      <c r="XEQ1"/>
      <c r="XER1"/>
      <c r="XES1"/>
      <c r="XET1"/>
      <c r="XEU1"/>
      <c r="XEV1"/>
      <c r="XEW1"/>
      <c r="XEX1"/>
      <c r="XEY1"/>
      <c r="XEZ1"/>
      <c r="XFA1"/>
      <c r="XFB1"/>
      <c r="XFC1"/>
      <c r="XFD1"/>
    </row>
    <row r="2" spans="1:52 16365:16384">
      <c r="A2" s="8">
        <v>4906</v>
      </c>
      <c r="B2" s="9">
        <v>44986</v>
      </c>
      <c r="C2" s="8" t="s">
        <v>516</v>
      </c>
      <c r="D2" s="8">
        <v>121.475059396253</v>
      </c>
      <c r="E2" s="8">
        <v>31.2447779044237</v>
      </c>
      <c r="F2" s="8" t="s">
        <v>1529</v>
      </c>
      <c r="G2" s="8" t="s">
        <v>21</v>
      </c>
      <c r="H2" s="10">
        <v>7.8</v>
      </c>
      <c r="I2" s="8" t="s">
        <v>1027</v>
      </c>
      <c r="J2" s="8" t="s">
        <v>619</v>
      </c>
      <c r="K2" s="8" t="s">
        <v>176</v>
      </c>
      <c r="L2" s="8" t="s">
        <v>100</v>
      </c>
      <c r="M2" s="8">
        <v>1703.44</v>
      </c>
      <c r="N2" s="8"/>
      <c r="O2" s="11">
        <v>1703.44</v>
      </c>
      <c r="P2" s="8" t="s">
        <v>26</v>
      </c>
      <c r="Q2" s="8" t="s">
        <v>13</v>
      </c>
      <c r="R2" s="8" t="s">
        <v>1919</v>
      </c>
      <c r="S2" s="12" t="s">
        <v>1920</v>
      </c>
      <c r="T2" s="8" t="s">
        <v>1921</v>
      </c>
      <c r="U2" s="8">
        <v>121.505033274794</v>
      </c>
      <c r="V2" s="8">
        <v>31.2537336517388</v>
      </c>
      <c r="W2" s="8" t="s">
        <v>1262</v>
      </c>
      <c r="X2">
        <v>3.62</v>
      </c>
    </row>
    <row r="3" spans="1:52 16365:16384">
      <c r="A3" s="8">
        <v>4941</v>
      </c>
      <c r="B3" s="9">
        <v>45017</v>
      </c>
      <c r="C3" s="8" t="s">
        <v>516</v>
      </c>
      <c r="D3" s="8">
        <v>121.475059396253</v>
      </c>
      <c r="E3" s="8">
        <v>31.2447779044237</v>
      </c>
      <c r="F3" s="8" t="s">
        <v>1529</v>
      </c>
      <c r="G3" s="8" t="s">
        <v>21</v>
      </c>
      <c r="H3" s="10">
        <v>7.8</v>
      </c>
      <c r="I3" s="8" t="s">
        <v>1029</v>
      </c>
      <c r="J3" s="8" t="s">
        <v>619</v>
      </c>
      <c r="K3" s="8" t="s">
        <v>176</v>
      </c>
      <c r="L3" s="8" t="s">
        <v>100</v>
      </c>
      <c r="M3" s="8">
        <v>304.03</v>
      </c>
      <c r="N3" s="8"/>
      <c r="O3" s="11">
        <v>304.03</v>
      </c>
      <c r="P3" s="8" t="s">
        <v>26</v>
      </c>
      <c r="Q3" s="8" t="s">
        <v>13</v>
      </c>
      <c r="R3" s="8" t="s">
        <v>1919</v>
      </c>
      <c r="S3" s="12" t="s">
        <v>1920</v>
      </c>
      <c r="T3" s="8" t="s">
        <v>1920</v>
      </c>
      <c r="U3" s="8">
        <v>121.505033274794</v>
      </c>
      <c r="V3" s="8">
        <v>31.2537336517388</v>
      </c>
      <c r="W3" s="8" t="s">
        <v>1262</v>
      </c>
      <c r="X3">
        <v>3.62</v>
      </c>
    </row>
    <row r="4" spans="1:52 16365:16384">
      <c r="A4" s="8">
        <v>5251</v>
      </c>
      <c r="B4" s="9">
        <v>45131</v>
      </c>
      <c r="C4" s="8" t="s">
        <v>462</v>
      </c>
      <c r="D4" s="8">
        <v>121.4358335038</v>
      </c>
      <c r="E4" s="8">
        <v>31.2431872063</v>
      </c>
      <c r="F4" s="8" t="s">
        <v>1543</v>
      </c>
      <c r="G4" s="8" t="s">
        <v>21</v>
      </c>
      <c r="H4" s="13">
        <v>6.23333333333333</v>
      </c>
      <c r="I4" s="8" t="s">
        <v>1232</v>
      </c>
      <c r="J4" s="8" t="s">
        <v>447</v>
      </c>
      <c r="K4" s="8" t="s">
        <v>176</v>
      </c>
      <c r="L4" s="8" t="s">
        <v>100</v>
      </c>
      <c r="M4" s="8">
        <v>1783</v>
      </c>
      <c r="N4" s="8" t="s">
        <v>1258</v>
      </c>
      <c r="O4" s="11">
        <v>1783</v>
      </c>
      <c r="P4" s="8" t="s">
        <v>75</v>
      </c>
      <c r="Q4" s="8" t="s">
        <v>13</v>
      </c>
      <c r="R4" s="8" t="s">
        <v>1922</v>
      </c>
      <c r="S4" s="12" t="s">
        <v>1922</v>
      </c>
      <c r="T4" s="8" t="s">
        <v>1923</v>
      </c>
      <c r="U4" s="8">
        <v>121.41888547702</v>
      </c>
      <c r="V4" s="8">
        <v>31.2456388621925</v>
      </c>
      <c r="W4" s="8" t="s">
        <v>1262</v>
      </c>
      <c r="X4">
        <v>2.43</v>
      </c>
    </row>
    <row r="5" spans="1:52 16365:16384">
      <c r="A5" s="8">
        <v>5312</v>
      </c>
      <c r="B5" s="9">
        <v>45161</v>
      </c>
      <c r="C5" s="8" t="s">
        <v>462</v>
      </c>
      <c r="D5" s="8">
        <v>121.4358335038</v>
      </c>
      <c r="E5" s="8">
        <v>31.2431872063</v>
      </c>
      <c r="F5" s="8" t="s">
        <v>1543</v>
      </c>
      <c r="G5" s="8" t="s">
        <v>21</v>
      </c>
      <c r="H5" s="13">
        <v>4.58333333333333</v>
      </c>
      <c r="I5" s="8" t="s">
        <v>1230</v>
      </c>
      <c r="J5" s="8" t="s">
        <v>196</v>
      </c>
      <c r="K5" s="8" t="s">
        <v>99</v>
      </c>
      <c r="L5" s="8" t="s">
        <v>100</v>
      </c>
      <c r="M5" s="8">
        <v>1750</v>
      </c>
      <c r="N5" s="8" t="s">
        <v>1258</v>
      </c>
      <c r="O5" s="11">
        <v>1750</v>
      </c>
      <c r="P5" s="8" t="s">
        <v>66</v>
      </c>
      <c r="Q5" s="8" t="s">
        <v>13</v>
      </c>
      <c r="R5" s="8" t="s">
        <v>1924</v>
      </c>
      <c r="S5" s="12" t="s">
        <v>1924</v>
      </c>
      <c r="T5" s="8" t="s">
        <v>1925</v>
      </c>
      <c r="U5" s="8">
        <v>121.429775</v>
      </c>
      <c r="V5" s="8">
        <v>31.249709</v>
      </c>
      <c r="W5" s="8" t="s">
        <v>1262</v>
      </c>
      <c r="X5">
        <v>2.4</v>
      </c>
    </row>
    <row r="6" spans="1:52 16365:16384">
      <c r="A6" s="8">
        <v>5495</v>
      </c>
      <c r="B6" s="9">
        <v>45231</v>
      </c>
      <c r="C6" s="8" t="s">
        <v>168</v>
      </c>
      <c r="D6" s="8">
        <v>121.391503363144</v>
      </c>
      <c r="E6" s="8">
        <v>31.2447752841159</v>
      </c>
      <c r="F6" s="8" t="s">
        <v>1498</v>
      </c>
      <c r="G6" s="8" t="s">
        <v>21</v>
      </c>
      <c r="H6" s="10">
        <v>4.12</v>
      </c>
      <c r="I6" s="8" t="s">
        <v>509</v>
      </c>
      <c r="J6" s="8"/>
      <c r="K6" s="8"/>
      <c r="L6" s="8" t="s">
        <v>100</v>
      </c>
      <c r="M6" s="8">
        <v>602.99</v>
      </c>
      <c r="N6" s="8" t="s">
        <v>1258</v>
      </c>
      <c r="O6" s="11">
        <v>602.99</v>
      </c>
      <c r="P6" s="8" t="s">
        <v>26</v>
      </c>
      <c r="Q6" s="8" t="s">
        <v>13</v>
      </c>
      <c r="R6" s="8" t="s">
        <v>1926</v>
      </c>
      <c r="S6" s="12" t="s">
        <v>1927</v>
      </c>
      <c r="T6" s="8" t="s">
        <v>1928</v>
      </c>
      <c r="U6" s="8">
        <v>121.350980686987</v>
      </c>
      <c r="V6" s="8">
        <v>31.2320000185392</v>
      </c>
      <c r="W6" s="8" t="s">
        <v>1262</v>
      </c>
      <c r="X6">
        <v>6.792</v>
      </c>
    </row>
    <row r="7" spans="1:52 16365:16384">
      <c r="A7" s="8">
        <v>5523</v>
      </c>
      <c r="B7" s="9">
        <v>45242</v>
      </c>
      <c r="C7" s="8" t="s">
        <v>1071</v>
      </c>
      <c r="D7" s="8">
        <v>121.3107597</v>
      </c>
      <c r="E7" s="8">
        <v>31.20035899</v>
      </c>
      <c r="F7" s="8" t="s">
        <v>1518</v>
      </c>
      <c r="G7" s="8" t="s">
        <v>21</v>
      </c>
      <c r="H7" s="13">
        <v>5.04166666666667</v>
      </c>
      <c r="I7" s="8" t="s">
        <v>1072</v>
      </c>
      <c r="J7" s="8" t="s">
        <v>98</v>
      </c>
      <c r="K7" s="8" t="s">
        <v>99</v>
      </c>
      <c r="L7" s="8" t="s">
        <v>100</v>
      </c>
      <c r="M7" s="8">
        <v>12000</v>
      </c>
      <c r="N7" s="8" t="s">
        <v>1258</v>
      </c>
      <c r="O7" s="11">
        <v>12000</v>
      </c>
      <c r="P7" s="8" t="s">
        <v>51</v>
      </c>
      <c r="Q7" s="8" t="s">
        <v>13</v>
      </c>
      <c r="R7" s="8" t="s">
        <v>1929</v>
      </c>
      <c r="S7" s="12" t="s">
        <v>1930</v>
      </c>
      <c r="T7" s="8" t="s">
        <v>1931</v>
      </c>
      <c r="U7" s="8">
        <v>121.159758812416</v>
      </c>
      <c r="V7" s="8">
        <v>31.288025218931</v>
      </c>
      <c r="W7" s="8" t="s">
        <v>1262</v>
      </c>
      <c r="X7">
        <v>22.52</v>
      </c>
    </row>
    <row r="8" spans="1:52 16365:16384">
      <c r="A8" s="8">
        <v>5602</v>
      </c>
      <c r="B8" s="9">
        <v>45292</v>
      </c>
      <c r="C8" s="8" t="s">
        <v>1062</v>
      </c>
      <c r="D8" s="8">
        <v>121.3111251</v>
      </c>
      <c r="E8" s="8">
        <v>31.1973594</v>
      </c>
      <c r="F8" s="8" t="s">
        <v>1518</v>
      </c>
      <c r="G8" s="8" t="s">
        <v>21</v>
      </c>
      <c r="H8" s="13">
        <v>6.41666666666667</v>
      </c>
      <c r="I8" s="8" t="s">
        <v>1065</v>
      </c>
      <c r="J8" s="8" t="s">
        <v>98</v>
      </c>
      <c r="K8" s="8" t="s">
        <v>99</v>
      </c>
      <c r="L8" s="8" t="s">
        <v>100</v>
      </c>
      <c r="M8" s="8">
        <v>20000</v>
      </c>
      <c r="N8" s="8" t="s">
        <v>1258</v>
      </c>
      <c r="O8" s="11">
        <v>20000</v>
      </c>
      <c r="P8" s="8" t="s">
        <v>43</v>
      </c>
      <c r="Q8" s="8" t="s">
        <v>13</v>
      </c>
      <c r="R8" s="8" t="s">
        <v>1066</v>
      </c>
      <c r="S8" s="12" t="s">
        <v>1932</v>
      </c>
      <c r="T8" s="8" t="s">
        <v>1933</v>
      </c>
      <c r="U8" s="8">
        <v>121.178518044571</v>
      </c>
      <c r="V8" s="8">
        <v>31.2841477004734</v>
      </c>
      <c r="W8" s="8" t="s">
        <v>1262</v>
      </c>
      <c r="X8">
        <v>20.362</v>
      </c>
    </row>
    <row r="9" spans="1:52 16365:16384">
      <c r="A9" s="8">
        <v>4907</v>
      </c>
      <c r="B9" s="9">
        <v>44986</v>
      </c>
      <c r="C9" s="8" t="s">
        <v>604</v>
      </c>
      <c r="D9" s="8">
        <v>121.47817345462</v>
      </c>
      <c r="E9" s="8">
        <v>31.1578653986216</v>
      </c>
      <c r="F9" s="8" t="s">
        <v>1300</v>
      </c>
      <c r="G9" s="8" t="s">
        <v>21</v>
      </c>
      <c r="H9" s="14">
        <v>8.9</v>
      </c>
      <c r="I9" s="8" t="s">
        <v>618</v>
      </c>
      <c r="J9" s="8" t="s">
        <v>619</v>
      </c>
      <c r="K9" s="8" t="s">
        <v>176</v>
      </c>
      <c r="L9" s="8" t="s">
        <v>100</v>
      </c>
      <c r="M9" s="8">
        <v>2682</v>
      </c>
      <c r="N9" s="8"/>
      <c r="O9" s="11">
        <v>2682</v>
      </c>
      <c r="P9" s="8" t="s">
        <v>43</v>
      </c>
      <c r="Q9" s="8" t="s">
        <v>13</v>
      </c>
      <c r="R9" s="8" t="s">
        <v>1934</v>
      </c>
      <c r="S9" s="12" t="s">
        <v>1935</v>
      </c>
      <c r="T9" s="8" t="s">
        <v>1936</v>
      </c>
      <c r="U9" s="8">
        <v>121.425812383087</v>
      </c>
      <c r="V9" s="8">
        <v>31.2197874193468</v>
      </c>
      <c r="W9" s="8" t="s">
        <v>32</v>
      </c>
      <c r="X9">
        <v>11.353</v>
      </c>
    </row>
    <row r="10" spans="1:52 16365:16384">
      <c r="A10" s="8">
        <v>4880</v>
      </c>
      <c r="B10" s="9">
        <v>44986</v>
      </c>
      <c r="C10" s="8" t="s">
        <v>1338</v>
      </c>
      <c r="D10" s="8">
        <v>121.5301224</v>
      </c>
      <c r="E10" s="8">
        <v>31.21429566</v>
      </c>
      <c r="F10" s="8" t="s">
        <v>1257</v>
      </c>
      <c r="G10" s="8" t="s">
        <v>32</v>
      </c>
      <c r="H10" s="13">
        <v>7.51666666666667</v>
      </c>
      <c r="I10" s="8" t="s">
        <v>1151</v>
      </c>
      <c r="J10" s="8" t="s">
        <v>447</v>
      </c>
      <c r="K10" s="8" t="s">
        <v>176</v>
      </c>
      <c r="L10" s="8" t="s">
        <v>100</v>
      </c>
      <c r="M10" s="8">
        <v>700</v>
      </c>
      <c r="N10" s="8" t="s">
        <v>1258</v>
      </c>
      <c r="O10" s="11">
        <v>700</v>
      </c>
      <c r="P10" s="8" t="s">
        <v>66</v>
      </c>
      <c r="Q10" s="8" t="s">
        <v>52</v>
      </c>
      <c r="R10" s="8" t="s">
        <v>1937</v>
      </c>
      <c r="S10" s="12" t="s">
        <v>1938</v>
      </c>
      <c r="T10" s="8" t="s">
        <v>1939</v>
      </c>
      <c r="U10" s="8">
        <v>121.530008011152</v>
      </c>
      <c r="V10" s="8">
        <v>31.2196295579847</v>
      </c>
      <c r="W10" s="8" t="s">
        <v>32</v>
      </c>
      <c r="X10">
        <v>1.007</v>
      </c>
    </row>
    <row r="11" spans="1:52 16365:16384">
      <c r="A11" s="8">
        <v>4998</v>
      </c>
      <c r="B11" s="9">
        <v>45047</v>
      </c>
      <c r="C11" s="8" t="s">
        <v>869</v>
      </c>
      <c r="D11" s="8">
        <v>121.5263734</v>
      </c>
      <c r="E11" s="8">
        <v>31.22682611</v>
      </c>
      <c r="F11" s="8" t="s">
        <v>1257</v>
      </c>
      <c r="G11" s="8" t="s">
        <v>32</v>
      </c>
      <c r="H11" s="10">
        <v>6.70833333333333</v>
      </c>
      <c r="I11" s="8" t="s">
        <v>1086</v>
      </c>
      <c r="J11" s="8" t="s">
        <v>447</v>
      </c>
      <c r="K11" s="8" t="s">
        <v>176</v>
      </c>
      <c r="L11" s="8" t="s">
        <v>100</v>
      </c>
      <c r="M11" s="8">
        <v>189.74</v>
      </c>
      <c r="N11" s="8"/>
      <c r="O11" s="11">
        <v>189.74</v>
      </c>
      <c r="P11" s="8" t="s">
        <v>245</v>
      </c>
      <c r="Q11" s="8" t="s">
        <v>52</v>
      </c>
      <c r="R11" s="8" t="s">
        <v>1321</v>
      </c>
      <c r="S11" s="12" t="s">
        <v>163</v>
      </c>
      <c r="T11" s="8" t="s">
        <v>163</v>
      </c>
      <c r="U11" s="8">
        <v>121.50124788241</v>
      </c>
      <c r="V11" s="8">
        <v>31.2373208413298</v>
      </c>
      <c r="W11" s="8" t="s">
        <v>32</v>
      </c>
      <c r="X11">
        <v>3.277</v>
      </c>
    </row>
    <row r="12" spans="1:52 16365:16384">
      <c r="A12" s="8">
        <v>5109</v>
      </c>
      <c r="B12" s="9">
        <v>45078</v>
      </c>
      <c r="C12" s="8" t="s">
        <v>1940</v>
      </c>
      <c r="D12" s="8">
        <v>121.5314569</v>
      </c>
      <c r="E12" s="8">
        <v>31.21481128</v>
      </c>
      <c r="F12" s="8" t="s">
        <v>1257</v>
      </c>
      <c r="G12" s="8" t="s">
        <v>32</v>
      </c>
      <c r="H12" s="10">
        <v>6.8</v>
      </c>
      <c r="I12" s="8" t="s">
        <v>1145</v>
      </c>
      <c r="J12" s="8" t="s">
        <v>447</v>
      </c>
      <c r="K12" s="8" t="s">
        <v>176</v>
      </c>
      <c r="L12" s="8" t="s">
        <v>100</v>
      </c>
      <c r="M12" s="8">
        <v>1163.1</v>
      </c>
      <c r="N12" s="8"/>
      <c r="O12" s="11">
        <v>1163.1</v>
      </c>
      <c r="P12" s="8" t="s">
        <v>43</v>
      </c>
      <c r="Q12" s="8" t="s">
        <v>13</v>
      </c>
      <c r="R12" s="8" t="s">
        <v>1941</v>
      </c>
      <c r="S12" s="12" t="s">
        <v>1942</v>
      </c>
      <c r="T12" s="8" t="s">
        <v>1942</v>
      </c>
      <c r="U12" s="8">
        <v>121.528821081307</v>
      </c>
      <c r="V12" s="8">
        <v>31.2247461895974</v>
      </c>
      <c r="W12" s="8" t="s">
        <v>32</v>
      </c>
      <c r="X12">
        <v>1.825</v>
      </c>
    </row>
    <row r="13" spans="1:52 16365:16384">
      <c r="A13" s="8">
        <v>5136</v>
      </c>
      <c r="B13" s="9">
        <v>45078</v>
      </c>
      <c r="C13" s="8" t="s">
        <v>442</v>
      </c>
      <c r="D13" s="8">
        <v>121.4402698</v>
      </c>
      <c r="E13" s="8">
        <v>31.22348451</v>
      </c>
      <c r="F13" s="8" t="s">
        <v>1293</v>
      </c>
      <c r="G13" s="8" t="s">
        <v>32</v>
      </c>
      <c r="H13" s="13">
        <v>12.375</v>
      </c>
      <c r="I13" s="8" t="s">
        <v>446</v>
      </c>
      <c r="J13" s="8" t="s">
        <v>447</v>
      </c>
      <c r="K13" s="8" t="s">
        <v>176</v>
      </c>
      <c r="L13" s="8" t="s">
        <v>100</v>
      </c>
      <c r="M13" s="8">
        <v>256</v>
      </c>
      <c r="N13" s="8" t="s">
        <v>1258</v>
      </c>
      <c r="O13" s="11">
        <v>256</v>
      </c>
      <c r="P13" s="8" t="s">
        <v>51</v>
      </c>
      <c r="Q13" s="8" t="s">
        <v>52</v>
      </c>
      <c r="R13" s="8" t="s">
        <v>1557</v>
      </c>
      <c r="S13" s="12" t="s">
        <v>1943</v>
      </c>
      <c r="T13" s="8" t="s">
        <v>1558</v>
      </c>
      <c r="U13" s="8">
        <v>121.448503330181</v>
      </c>
      <c r="V13" s="8">
        <v>31.2294290024205</v>
      </c>
      <c r="W13" s="8" t="s">
        <v>32</v>
      </c>
      <c r="X13">
        <v>1.755</v>
      </c>
    </row>
    <row r="14" spans="1:52 16365:16384">
      <c r="A14" s="8">
        <v>5603</v>
      </c>
      <c r="B14" s="9">
        <v>45292</v>
      </c>
      <c r="C14" s="8" t="s">
        <v>180</v>
      </c>
      <c r="D14" s="8">
        <v>121.456623924091</v>
      </c>
      <c r="E14" s="8">
        <v>31.239371056045</v>
      </c>
      <c r="F14" s="8" t="s">
        <v>1293</v>
      </c>
      <c r="G14" s="8" t="s">
        <v>32</v>
      </c>
      <c r="H14" s="13">
        <v>5.5</v>
      </c>
      <c r="I14" s="8" t="s">
        <v>195</v>
      </c>
      <c r="J14" s="8" t="s">
        <v>196</v>
      </c>
      <c r="K14" s="8" t="s">
        <v>99</v>
      </c>
      <c r="L14" s="8" t="s">
        <v>100</v>
      </c>
      <c r="M14" s="8">
        <v>2000</v>
      </c>
      <c r="N14" s="8" t="s">
        <v>1258</v>
      </c>
      <c r="O14" s="11">
        <v>2000</v>
      </c>
      <c r="P14" s="8" t="s">
        <v>66</v>
      </c>
      <c r="Q14" s="8" t="s">
        <v>13</v>
      </c>
      <c r="R14" s="8" t="s">
        <v>1944</v>
      </c>
      <c r="S14" s="12" t="s">
        <v>1945</v>
      </c>
      <c r="T14" s="8" t="s">
        <v>1398</v>
      </c>
      <c r="U14" s="8">
        <v>121.444090941776</v>
      </c>
      <c r="V14" s="8">
        <v>31.2282397212354</v>
      </c>
      <c r="W14" s="8" t="s">
        <v>32</v>
      </c>
      <c r="X14">
        <v>2.359</v>
      </c>
    </row>
    <row r="15" spans="1:52 16365:16384">
      <c r="A15" s="8">
        <v>5701</v>
      </c>
      <c r="B15" s="9">
        <v>45323</v>
      </c>
      <c r="C15" s="8" t="s">
        <v>815</v>
      </c>
      <c r="D15" s="8">
        <v>121.503035125429</v>
      </c>
      <c r="E15" s="8">
        <v>31.2421575138146</v>
      </c>
      <c r="F15" s="8" t="s">
        <v>1275</v>
      </c>
      <c r="G15" s="8" t="s">
        <v>32</v>
      </c>
      <c r="H15" s="13">
        <v>5.775</v>
      </c>
      <c r="I15" s="8" t="s">
        <v>818</v>
      </c>
      <c r="J15" s="8"/>
      <c r="K15" s="8"/>
      <c r="L15" s="8" t="s">
        <v>100</v>
      </c>
      <c r="M15" s="8">
        <v>700</v>
      </c>
      <c r="N15" s="8" t="s">
        <v>1258</v>
      </c>
      <c r="O15" s="11">
        <v>700</v>
      </c>
      <c r="P15" s="8" t="s">
        <v>66</v>
      </c>
      <c r="Q15" s="8" t="s">
        <v>52</v>
      </c>
      <c r="R15" s="8" t="s">
        <v>1946</v>
      </c>
      <c r="S15" s="12" t="s">
        <v>1947</v>
      </c>
      <c r="T15" s="8" t="s">
        <v>1948</v>
      </c>
      <c r="U15" s="8">
        <v>121.523480489648</v>
      </c>
      <c r="V15" s="8">
        <v>31.2314553580937</v>
      </c>
      <c r="W15" s="8" t="s">
        <v>32</v>
      </c>
      <c r="X15">
        <v>3.012</v>
      </c>
    </row>
    <row r="16" spans="1:52 16365:16384">
      <c r="A16" s="8">
        <v>4023</v>
      </c>
      <c r="B16" s="9">
        <v>44593</v>
      </c>
      <c r="C16" s="8" t="s">
        <v>604</v>
      </c>
      <c r="D16" s="8">
        <v>121.47817345462</v>
      </c>
      <c r="E16" s="8">
        <v>31.1578653986216</v>
      </c>
      <c r="F16" s="8" t="s">
        <v>1300</v>
      </c>
      <c r="G16" s="8" t="s">
        <v>21</v>
      </c>
      <c r="H16" s="10">
        <v>6.88333333333333</v>
      </c>
      <c r="I16" s="8" t="s">
        <v>605</v>
      </c>
      <c r="J16" s="8" t="s">
        <v>343</v>
      </c>
      <c r="K16" s="8" t="s">
        <v>99</v>
      </c>
      <c r="L16" s="8" t="s">
        <v>100</v>
      </c>
      <c r="M16" s="8">
        <v>2600</v>
      </c>
      <c r="N16" s="8" t="s">
        <v>1258</v>
      </c>
      <c r="O16" s="11">
        <v>2600</v>
      </c>
      <c r="P16" s="8" t="s">
        <v>43</v>
      </c>
      <c r="Q16" s="8" t="s">
        <v>13</v>
      </c>
      <c r="R16" s="8" t="s">
        <v>1949</v>
      </c>
      <c r="S16" s="8" t="s">
        <v>1950</v>
      </c>
      <c r="T16" s="8" t="s">
        <v>1950</v>
      </c>
      <c r="U16" s="8">
        <v>121.478302717156</v>
      </c>
      <c r="V16" s="8">
        <v>31.1597695926097</v>
      </c>
      <c r="W16" s="8"/>
      <c r="X16" s="15">
        <v>0.77</v>
      </c>
      <c r="Z16" s="15"/>
    </row>
    <row r="17" spans="1:26">
      <c r="A17" s="8">
        <v>4094</v>
      </c>
      <c r="B17" s="9">
        <v>44621</v>
      </c>
      <c r="C17" s="8" t="s">
        <v>63</v>
      </c>
      <c r="D17" s="8">
        <v>121.4695908</v>
      </c>
      <c r="E17" s="8">
        <v>31.1724856</v>
      </c>
      <c r="F17" s="8" t="s">
        <v>1268</v>
      </c>
      <c r="G17" s="8" t="s">
        <v>21</v>
      </c>
      <c r="H17" s="13">
        <v>5.72916666666667</v>
      </c>
      <c r="I17" s="8" t="s">
        <v>97</v>
      </c>
      <c r="J17" s="8" t="s">
        <v>98</v>
      </c>
      <c r="K17" s="8" t="s">
        <v>99</v>
      </c>
      <c r="L17" s="8" t="s">
        <v>100</v>
      </c>
      <c r="M17" s="8">
        <v>2470</v>
      </c>
      <c r="N17" s="8" t="s">
        <v>1258</v>
      </c>
      <c r="O17" s="11">
        <v>2470</v>
      </c>
      <c r="P17" s="8" t="s">
        <v>66</v>
      </c>
      <c r="Q17" s="8" t="s">
        <v>52</v>
      </c>
      <c r="R17" s="8" t="s">
        <v>1355</v>
      </c>
      <c r="S17" s="8" t="s">
        <v>1357</v>
      </c>
      <c r="T17" s="8" t="s">
        <v>1357</v>
      </c>
      <c r="U17" s="8">
        <v>121.518386381511</v>
      </c>
      <c r="V17" s="8">
        <v>31.2320158334721</v>
      </c>
      <c r="W17" s="8"/>
      <c r="X17" s="15">
        <v>9.48</v>
      </c>
      <c r="Z17" s="15"/>
    </row>
    <row r="18" spans="1:26">
      <c r="A18" s="8">
        <v>4077</v>
      </c>
      <c r="B18" s="9">
        <v>44621</v>
      </c>
      <c r="C18" s="8" t="s">
        <v>629</v>
      </c>
      <c r="D18" s="8">
        <v>121.477240952879</v>
      </c>
      <c r="E18" s="8">
        <v>31.1611888079705</v>
      </c>
      <c r="F18" s="8" t="s">
        <v>1300</v>
      </c>
      <c r="G18" s="8" t="s">
        <v>21</v>
      </c>
      <c r="H18" s="10">
        <v>5.33</v>
      </c>
      <c r="I18" s="8" t="s">
        <v>630</v>
      </c>
      <c r="J18" s="8" t="s">
        <v>619</v>
      </c>
      <c r="K18" s="8" t="s">
        <v>176</v>
      </c>
      <c r="L18" s="8" t="s">
        <v>100</v>
      </c>
      <c r="M18" s="8">
        <v>538.35987858</v>
      </c>
      <c r="N18" s="8" t="s">
        <v>1258</v>
      </c>
      <c r="O18" s="11">
        <v>538.35987858</v>
      </c>
      <c r="P18" s="8" t="s">
        <v>245</v>
      </c>
      <c r="Q18" s="8" t="s">
        <v>13</v>
      </c>
      <c r="R18" s="8" t="s">
        <v>1951</v>
      </c>
      <c r="S18" s="8" t="s">
        <v>1952</v>
      </c>
      <c r="T18" s="8" t="s">
        <v>1952</v>
      </c>
      <c r="U18" s="8">
        <v>121.719996350214</v>
      </c>
      <c r="V18" s="8">
        <v>31.0327343637635</v>
      </c>
      <c r="W18" s="8"/>
      <c r="X18" s="15">
        <v>34.12</v>
      </c>
      <c r="Z18" s="15"/>
    </row>
    <row r="19" spans="1:26">
      <c r="A19" s="8">
        <v>4068</v>
      </c>
      <c r="B19" s="9">
        <v>44621</v>
      </c>
      <c r="C19" s="8" t="s">
        <v>341</v>
      </c>
      <c r="D19" s="8">
        <v>121.4511484</v>
      </c>
      <c r="E19" s="8">
        <v>31.23042875</v>
      </c>
      <c r="F19" s="8" t="s">
        <v>1293</v>
      </c>
      <c r="G19" s="8" t="s">
        <v>32</v>
      </c>
      <c r="H19" s="10">
        <v>9.71</v>
      </c>
      <c r="I19" s="8" t="s">
        <v>342</v>
      </c>
      <c r="J19" s="8" t="s">
        <v>343</v>
      </c>
      <c r="K19" s="8" t="s">
        <v>99</v>
      </c>
      <c r="L19" s="8" t="s">
        <v>100</v>
      </c>
      <c r="M19" s="8">
        <v>170.08030919</v>
      </c>
      <c r="N19" s="8" t="s">
        <v>1258</v>
      </c>
      <c r="O19" s="11">
        <v>170.08030919</v>
      </c>
      <c r="P19" s="8" t="s">
        <v>245</v>
      </c>
      <c r="Q19" s="8" t="s">
        <v>13</v>
      </c>
      <c r="R19" s="8" t="s">
        <v>1953</v>
      </c>
      <c r="S19" s="8" t="s">
        <v>1666</v>
      </c>
      <c r="T19" s="8" t="s">
        <v>1666</v>
      </c>
      <c r="U19" s="8">
        <v>121.45884790711</v>
      </c>
      <c r="V19" s="8">
        <v>31.2321435392777</v>
      </c>
      <c r="W19" s="8"/>
      <c r="X19" s="15">
        <v>1.325</v>
      </c>
      <c r="Z19" s="15"/>
    </row>
    <row r="20" spans="1:26">
      <c r="A20" s="8">
        <v>4120</v>
      </c>
      <c r="B20" s="9">
        <v>44658</v>
      </c>
      <c r="C20" s="8" t="s">
        <v>423</v>
      </c>
      <c r="D20" s="8">
        <v>121.446585570424</v>
      </c>
      <c r="E20" s="8">
        <v>31.2783432886804</v>
      </c>
      <c r="F20" s="8" t="s">
        <v>1685</v>
      </c>
      <c r="G20" s="8" t="s">
        <v>21</v>
      </c>
      <c r="H20" s="10">
        <v>5.8</v>
      </c>
      <c r="I20" s="8" t="s">
        <v>427</v>
      </c>
      <c r="J20" s="8" t="s">
        <v>343</v>
      </c>
      <c r="K20" s="8" t="s">
        <v>99</v>
      </c>
      <c r="L20" s="8" t="s">
        <v>100</v>
      </c>
      <c r="M20" s="8">
        <v>810.9</v>
      </c>
      <c r="N20" s="8" t="s">
        <v>1258</v>
      </c>
      <c r="O20" s="11">
        <v>810.9</v>
      </c>
      <c r="P20" s="8" t="s">
        <v>66</v>
      </c>
      <c r="Q20" s="8" t="s">
        <v>13</v>
      </c>
      <c r="R20" s="8" t="s">
        <v>1954</v>
      </c>
      <c r="S20" s="8" t="s">
        <v>1955</v>
      </c>
      <c r="T20" s="8" t="s">
        <v>1955</v>
      </c>
      <c r="U20" s="8">
        <v>121.438928851434</v>
      </c>
      <c r="V20" s="8">
        <v>31.2899716922962</v>
      </c>
      <c r="W20" s="8"/>
      <c r="X20" s="15">
        <v>2.45</v>
      </c>
      <c r="Z20" s="15"/>
    </row>
    <row r="21" spans="1:26">
      <c r="A21" s="8">
        <v>4151</v>
      </c>
      <c r="B21" s="9">
        <v>44724</v>
      </c>
      <c r="C21" s="8" t="s">
        <v>604</v>
      </c>
      <c r="D21" s="8">
        <v>121.47817345462</v>
      </c>
      <c r="E21" s="8">
        <v>31.1578653986216</v>
      </c>
      <c r="F21" s="8" t="s">
        <v>1300</v>
      </c>
      <c r="G21" s="8" t="s">
        <v>21</v>
      </c>
      <c r="H21" s="10">
        <v>8</v>
      </c>
      <c r="I21" s="8" t="s">
        <v>621</v>
      </c>
      <c r="J21" s="8" t="s">
        <v>619</v>
      </c>
      <c r="K21" s="8" t="s">
        <v>176</v>
      </c>
      <c r="L21" s="8" t="s">
        <v>100</v>
      </c>
      <c r="M21" s="8">
        <v>2600</v>
      </c>
      <c r="N21" s="8" t="s">
        <v>1258</v>
      </c>
      <c r="O21" s="11">
        <v>2600</v>
      </c>
      <c r="P21" s="8" t="s">
        <v>51</v>
      </c>
      <c r="Q21" s="8" t="s">
        <v>13</v>
      </c>
      <c r="R21" s="8" t="s">
        <v>1956</v>
      </c>
      <c r="S21" s="8" t="s">
        <v>1957</v>
      </c>
      <c r="T21" s="8" t="s">
        <v>1957</v>
      </c>
      <c r="U21" s="8">
        <v>121.426202546979</v>
      </c>
      <c r="V21" s="8">
        <v>31.2202418747581</v>
      </c>
      <c r="W21" s="8"/>
      <c r="X21" s="15">
        <v>11.605</v>
      </c>
      <c r="Z21" s="15"/>
    </row>
    <row r="22" spans="1:26">
      <c r="A22" s="8">
        <v>4166</v>
      </c>
      <c r="B22" s="9">
        <v>44728</v>
      </c>
      <c r="C22" s="8" t="s">
        <v>1136</v>
      </c>
      <c r="D22" s="8">
        <v>121.3988575</v>
      </c>
      <c r="E22" s="8">
        <v>31.21176112</v>
      </c>
      <c r="F22" s="8" t="s">
        <v>1565</v>
      </c>
      <c r="G22" s="8" t="s">
        <v>32</v>
      </c>
      <c r="H22" s="13">
        <v>5.95833333333333</v>
      </c>
      <c r="I22" s="8" t="s">
        <v>1137</v>
      </c>
      <c r="J22" s="8">
        <v>0</v>
      </c>
      <c r="K22" s="8"/>
      <c r="L22" s="8" t="s">
        <v>100</v>
      </c>
      <c r="M22" s="8">
        <v>1450</v>
      </c>
      <c r="N22" s="8" t="s">
        <v>1258</v>
      </c>
      <c r="O22" s="11">
        <v>1450</v>
      </c>
      <c r="P22" s="8" t="s">
        <v>26</v>
      </c>
      <c r="Q22" s="8" t="s">
        <v>13</v>
      </c>
      <c r="R22" s="8" t="s">
        <v>1958</v>
      </c>
      <c r="S22" s="8" t="s">
        <v>1959</v>
      </c>
      <c r="T22" s="8" t="s">
        <v>1959</v>
      </c>
      <c r="U22" s="8">
        <v>121.410839667268</v>
      </c>
      <c r="V22" s="8">
        <v>31.2397575397585</v>
      </c>
      <c r="W22" s="8"/>
      <c r="X22" s="15">
        <v>4.82</v>
      </c>
      <c r="Z22" s="15"/>
    </row>
    <row r="23" spans="1:26">
      <c r="A23" s="8">
        <v>4176</v>
      </c>
      <c r="B23" s="9">
        <v>44734</v>
      </c>
      <c r="C23" s="8" t="s">
        <v>708</v>
      </c>
      <c r="D23" s="8">
        <v>121.391217875558</v>
      </c>
      <c r="E23" s="8">
        <v>31.2284548414874</v>
      </c>
      <c r="F23" s="8" t="s">
        <v>1360</v>
      </c>
      <c r="G23" s="8" t="s">
        <v>21</v>
      </c>
      <c r="H23" s="13">
        <v>5.5</v>
      </c>
      <c r="I23" s="8" t="s">
        <v>720</v>
      </c>
      <c r="J23" s="8" t="s">
        <v>98</v>
      </c>
      <c r="K23" s="8" t="s">
        <v>99</v>
      </c>
      <c r="L23" s="8" t="s">
        <v>100</v>
      </c>
      <c r="M23" s="8">
        <v>8000</v>
      </c>
      <c r="N23" s="8" t="s">
        <v>1258</v>
      </c>
      <c r="O23" s="11">
        <v>8000</v>
      </c>
      <c r="P23" s="8" t="s">
        <v>43</v>
      </c>
      <c r="Q23" s="8" t="s">
        <v>13</v>
      </c>
      <c r="R23" s="8" t="s">
        <v>1960</v>
      </c>
      <c r="S23" s="8" t="s">
        <v>1961</v>
      </c>
      <c r="T23" s="8" t="s">
        <v>1961</v>
      </c>
      <c r="U23" s="8">
        <v>121.309414653864</v>
      </c>
      <c r="V23" s="8">
        <v>31.2117956491163</v>
      </c>
      <c r="W23" s="8"/>
      <c r="X23" s="15">
        <v>9.85</v>
      </c>
      <c r="Z23" s="15"/>
    </row>
    <row r="24" spans="1:26">
      <c r="A24" s="8">
        <v>4236</v>
      </c>
      <c r="B24" s="9">
        <v>44743</v>
      </c>
      <c r="C24" s="8" t="s">
        <v>1074</v>
      </c>
      <c r="D24" s="8">
        <v>121.3130039</v>
      </c>
      <c r="E24" s="8">
        <v>31.19134871</v>
      </c>
      <c r="F24" s="8" t="s">
        <v>1518</v>
      </c>
      <c r="G24" s="8" t="s">
        <v>21</v>
      </c>
      <c r="H24" s="10">
        <v>4.8</v>
      </c>
      <c r="I24" s="8" t="s">
        <v>1075</v>
      </c>
      <c r="J24" s="8" t="s">
        <v>1076</v>
      </c>
      <c r="K24" s="8" t="s">
        <v>99</v>
      </c>
      <c r="L24" s="8" t="s">
        <v>100</v>
      </c>
      <c r="M24" s="8">
        <v>1891.33</v>
      </c>
      <c r="N24" s="8">
        <v>0</v>
      </c>
      <c r="O24" s="11">
        <v>1891.33</v>
      </c>
      <c r="P24" s="8" t="s">
        <v>245</v>
      </c>
      <c r="Q24" s="8" t="s">
        <v>52</v>
      </c>
      <c r="R24" s="8" t="s">
        <v>1962</v>
      </c>
      <c r="S24" s="8" t="s">
        <v>1963</v>
      </c>
      <c r="T24" s="8" t="s">
        <v>1963</v>
      </c>
      <c r="U24" s="8">
        <v>121.312285279328</v>
      </c>
      <c r="V24" s="8">
        <v>31.2101543667617</v>
      </c>
      <c r="W24" s="8"/>
      <c r="X24" s="15">
        <v>2.61</v>
      </c>
      <c r="Z24" s="15"/>
    </row>
    <row r="25" spans="1:26">
      <c r="A25" s="8">
        <v>4231</v>
      </c>
      <c r="B25" s="9">
        <v>44743</v>
      </c>
      <c r="C25" s="8" t="s">
        <v>1141</v>
      </c>
      <c r="D25" s="8">
        <v>121.310237185393</v>
      </c>
      <c r="E25" s="8">
        <v>31.2077420859205</v>
      </c>
      <c r="F25" s="8" t="s">
        <v>1518</v>
      </c>
      <c r="G25" s="8" t="s">
        <v>21</v>
      </c>
      <c r="H25" s="10">
        <v>4.5</v>
      </c>
      <c r="I25" s="8" t="s">
        <v>1142</v>
      </c>
      <c r="J25" s="8" t="s">
        <v>98</v>
      </c>
      <c r="K25" s="8" t="s">
        <v>99</v>
      </c>
      <c r="L25" s="8" t="s">
        <v>100</v>
      </c>
      <c r="M25" s="8">
        <v>1068.15</v>
      </c>
      <c r="N25" s="8">
        <v>0</v>
      </c>
      <c r="O25" s="11">
        <v>1068.15</v>
      </c>
      <c r="P25" s="8" t="s">
        <v>26</v>
      </c>
      <c r="Q25" s="8" t="s">
        <v>52</v>
      </c>
      <c r="R25" s="8" t="s">
        <v>1964</v>
      </c>
      <c r="S25" s="8" t="s">
        <v>1965</v>
      </c>
      <c r="T25" s="8" t="s">
        <v>1965</v>
      </c>
      <c r="U25" s="8">
        <v>121.312686344416</v>
      </c>
      <c r="V25" s="8">
        <v>31.1905019706048</v>
      </c>
      <c r="W25" s="8"/>
      <c r="X25" s="15">
        <v>2.38</v>
      </c>
      <c r="Z25" s="15"/>
    </row>
    <row r="26" spans="1:26">
      <c r="A26" s="8">
        <v>4269</v>
      </c>
      <c r="B26" s="9">
        <v>44774</v>
      </c>
      <c r="C26" s="8" t="s">
        <v>218</v>
      </c>
      <c r="D26" s="8">
        <v>121.4080203</v>
      </c>
      <c r="E26" s="8">
        <v>31.23413111</v>
      </c>
      <c r="F26" s="8" t="s">
        <v>1286</v>
      </c>
      <c r="G26" s="8" t="s">
        <v>21</v>
      </c>
      <c r="H26" s="10">
        <v>6</v>
      </c>
      <c r="I26" s="8" t="s">
        <v>219</v>
      </c>
      <c r="J26" s="8"/>
      <c r="K26" s="8"/>
      <c r="L26" s="8" t="s">
        <v>100</v>
      </c>
      <c r="M26" s="8">
        <v>2000</v>
      </c>
      <c r="N26" s="8" t="s">
        <v>1258</v>
      </c>
      <c r="O26" s="11">
        <v>2000</v>
      </c>
      <c r="P26" s="8" t="s">
        <v>51</v>
      </c>
      <c r="Q26" s="8" t="s">
        <v>13</v>
      </c>
      <c r="R26" s="8" t="s">
        <v>1966</v>
      </c>
      <c r="S26" s="8" t="s">
        <v>1967</v>
      </c>
      <c r="T26" s="8" t="s">
        <v>1967</v>
      </c>
      <c r="U26" s="8">
        <v>121.404755070679</v>
      </c>
      <c r="V26" s="8">
        <v>31.2311967387397</v>
      </c>
      <c r="W26" s="8"/>
      <c r="X26" s="15">
        <v>1.305</v>
      </c>
      <c r="Z26" s="15"/>
    </row>
    <row r="27" spans="1:26">
      <c r="A27" s="8">
        <v>4330</v>
      </c>
      <c r="B27" s="9">
        <v>44788</v>
      </c>
      <c r="C27" s="8" t="s">
        <v>1737</v>
      </c>
      <c r="D27" s="8">
        <v>121.475059396253</v>
      </c>
      <c r="E27" s="8">
        <v>31.2447779044237</v>
      </c>
      <c r="F27" s="8" t="s">
        <v>1529</v>
      </c>
      <c r="G27" s="8" t="s">
        <v>21</v>
      </c>
      <c r="H27" s="10">
        <v>8.25</v>
      </c>
      <c r="I27" s="8" t="s">
        <v>1053</v>
      </c>
      <c r="J27" s="8"/>
      <c r="K27" s="8"/>
      <c r="L27" s="8" t="s">
        <v>100</v>
      </c>
      <c r="M27" s="8">
        <v>1000</v>
      </c>
      <c r="N27" s="8" t="s">
        <v>1258</v>
      </c>
      <c r="O27" s="11">
        <v>1000</v>
      </c>
      <c r="P27" s="8" t="s">
        <v>43</v>
      </c>
      <c r="Q27" s="8" t="s">
        <v>13</v>
      </c>
      <c r="R27" s="8" t="s">
        <v>1968</v>
      </c>
      <c r="S27" s="8" t="s">
        <v>1969</v>
      </c>
      <c r="T27" s="8" t="s">
        <v>1969</v>
      </c>
      <c r="U27" s="8">
        <v>121.36039747516</v>
      </c>
      <c r="V27" s="8">
        <v>31.1695657087361</v>
      </c>
      <c r="W27" s="8"/>
      <c r="X27" s="16">
        <v>19.3</v>
      </c>
      <c r="Z27" s="15"/>
    </row>
    <row r="28" spans="1:26">
      <c r="A28" s="8">
        <v>4340</v>
      </c>
      <c r="B28" s="9">
        <v>44793</v>
      </c>
      <c r="C28" s="8" t="s">
        <v>604</v>
      </c>
      <c r="D28" s="8">
        <v>121.47817345462</v>
      </c>
      <c r="E28" s="8">
        <v>31.1578653986216</v>
      </c>
      <c r="F28" s="8" t="s">
        <v>1300</v>
      </c>
      <c r="G28" s="8" t="s">
        <v>21</v>
      </c>
      <c r="H28" s="13">
        <v>8.43333333333333</v>
      </c>
      <c r="I28" s="8" t="s">
        <v>609</v>
      </c>
      <c r="J28" s="8" t="s">
        <v>175</v>
      </c>
      <c r="K28" s="8" t="s">
        <v>176</v>
      </c>
      <c r="L28" s="8" t="s">
        <v>100</v>
      </c>
      <c r="M28" s="8">
        <v>1400</v>
      </c>
      <c r="N28" s="8" t="s">
        <v>1258</v>
      </c>
      <c r="O28" s="11">
        <v>1400</v>
      </c>
      <c r="P28" s="8" t="s">
        <v>51</v>
      </c>
      <c r="Q28" s="8" t="s">
        <v>13</v>
      </c>
      <c r="R28" s="8" t="s">
        <v>1970</v>
      </c>
      <c r="S28" s="8" t="s">
        <v>1971</v>
      </c>
      <c r="T28" s="8" t="s">
        <v>1971</v>
      </c>
      <c r="U28" s="8">
        <v>121.436841382686</v>
      </c>
      <c r="V28" s="8">
        <v>31.1872907791609</v>
      </c>
      <c r="W28" s="8"/>
      <c r="X28" s="15">
        <v>7.655</v>
      </c>
      <c r="Z28" s="15"/>
    </row>
    <row r="29" spans="1:26">
      <c r="A29" s="8">
        <v>4346</v>
      </c>
      <c r="B29" s="9">
        <v>44804</v>
      </c>
      <c r="C29" s="8" t="s">
        <v>997</v>
      </c>
      <c r="D29" s="8">
        <v>121.3576518</v>
      </c>
      <c r="E29" s="8">
        <v>31.1323941</v>
      </c>
      <c r="F29" s="8" t="s">
        <v>1972</v>
      </c>
      <c r="G29" s="8" t="s">
        <v>21</v>
      </c>
      <c r="H29" s="10">
        <v>4.42</v>
      </c>
      <c r="I29" s="8" t="s">
        <v>998</v>
      </c>
      <c r="J29" s="8" t="s">
        <v>343</v>
      </c>
      <c r="K29" s="8" t="s">
        <v>99</v>
      </c>
      <c r="L29" s="8" t="s">
        <v>100</v>
      </c>
      <c r="M29" s="8">
        <v>1000</v>
      </c>
      <c r="N29" s="8" t="s">
        <v>1258</v>
      </c>
      <c r="O29" s="11">
        <v>1000</v>
      </c>
      <c r="P29" s="8" t="s">
        <v>51</v>
      </c>
      <c r="Q29" s="8" t="s">
        <v>13</v>
      </c>
      <c r="R29" s="8" t="s">
        <v>1973</v>
      </c>
      <c r="S29" s="8" t="s">
        <v>1974</v>
      </c>
      <c r="T29" s="8" t="s">
        <v>1974</v>
      </c>
      <c r="U29" s="8">
        <v>121.393041060885</v>
      </c>
      <c r="V29" s="8">
        <v>31.1632755393315</v>
      </c>
      <c r="W29" s="8"/>
      <c r="X29" s="15">
        <v>6.73</v>
      </c>
      <c r="Z29" s="15"/>
    </row>
    <row r="30" spans="1:26">
      <c r="A30" s="8">
        <v>4351</v>
      </c>
      <c r="B30" s="9">
        <v>44805</v>
      </c>
      <c r="C30" s="8" t="s">
        <v>639</v>
      </c>
      <c r="D30" s="8">
        <v>121.476238880865</v>
      </c>
      <c r="E30" s="8">
        <v>31.1983117655287</v>
      </c>
      <c r="F30" s="8" t="s">
        <v>1263</v>
      </c>
      <c r="G30" s="8" t="s">
        <v>21</v>
      </c>
      <c r="H30" s="10">
        <v>7.09333333333333</v>
      </c>
      <c r="I30" s="8" t="s">
        <v>669</v>
      </c>
      <c r="J30" s="8" t="s">
        <v>619</v>
      </c>
      <c r="K30" s="8" t="s">
        <v>176</v>
      </c>
      <c r="L30" s="8" t="s">
        <v>100</v>
      </c>
      <c r="M30" s="8">
        <v>2090.7</v>
      </c>
      <c r="N30" s="8">
        <v>0</v>
      </c>
      <c r="O30" s="11">
        <v>2090.7</v>
      </c>
      <c r="P30" s="8" t="s">
        <v>66</v>
      </c>
      <c r="Q30" s="8" t="s">
        <v>13</v>
      </c>
      <c r="R30" s="8" t="s">
        <v>1975</v>
      </c>
      <c r="S30" s="8" t="s">
        <v>1976</v>
      </c>
      <c r="T30" s="8" t="s">
        <v>1976</v>
      </c>
      <c r="U30" s="8">
        <v>121.624596352592</v>
      </c>
      <c r="V30" s="8">
        <v>31.2124651825943</v>
      </c>
      <c r="W30" s="8"/>
      <c r="X30" s="15">
        <v>16.79</v>
      </c>
      <c r="Z30" s="15"/>
    </row>
    <row r="31" spans="1:26">
      <c r="A31" s="8">
        <v>4432</v>
      </c>
      <c r="B31" s="9">
        <v>44835</v>
      </c>
      <c r="C31" s="8" t="s">
        <v>71</v>
      </c>
      <c r="D31" s="8">
        <v>121.455928321736</v>
      </c>
      <c r="E31" s="8">
        <v>31.163149177406</v>
      </c>
      <c r="F31" s="8" t="s">
        <v>1272</v>
      </c>
      <c r="G31" s="8" t="s">
        <v>21</v>
      </c>
      <c r="H31" s="10">
        <v>5.85826771653543</v>
      </c>
      <c r="I31" s="8" t="s">
        <v>885</v>
      </c>
      <c r="J31" s="8" t="s">
        <v>98</v>
      </c>
      <c r="K31" s="8" t="s">
        <v>99</v>
      </c>
      <c r="L31" s="8" t="s">
        <v>100</v>
      </c>
      <c r="M31" s="8">
        <v>5552.43</v>
      </c>
      <c r="N31" s="8">
        <v>0</v>
      </c>
      <c r="O31" s="11">
        <v>5552.43</v>
      </c>
      <c r="P31" s="8" t="s">
        <v>43</v>
      </c>
      <c r="Q31" s="8" t="s">
        <v>52</v>
      </c>
      <c r="R31" s="8" t="s">
        <v>1977</v>
      </c>
      <c r="S31" s="8" t="s">
        <v>1978</v>
      </c>
      <c r="T31" s="8" t="s">
        <v>1978</v>
      </c>
      <c r="U31" s="8">
        <v>121.493357215392</v>
      </c>
      <c r="V31" s="8">
        <v>31.2510547769662</v>
      </c>
      <c r="W31" s="8"/>
      <c r="X31" s="15">
        <v>13.165</v>
      </c>
      <c r="Z31" s="15"/>
    </row>
    <row r="32" spans="1:26">
      <c r="A32" s="8">
        <v>4471</v>
      </c>
      <c r="B32" s="9">
        <v>44855</v>
      </c>
      <c r="C32" s="8" t="s">
        <v>684</v>
      </c>
      <c r="D32" s="8">
        <v>121.400037506429</v>
      </c>
      <c r="E32" s="8">
        <v>31.1992854476641</v>
      </c>
      <c r="F32" s="8" t="s">
        <v>1565</v>
      </c>
      <c r="G32" s="8" t="s">
        <v>32</v>
      </c>
      <c r="H32" s="13">
        <v>7.15</v>
      </c>
      <c r="I32" s="8" t="s">
        <v>685</v>
      </c>
      <c r="J32" s="8" t="s">
        <v>360</v>
      </c>
      <c r="K32" s="8" t="s">
        <v>99</v>
      </c>
      <c r="L32" s="8" t="s">
        <v>100</v>
      </c>
      <c r="M32" s="8">
        <v>1800</v>
      </c>
      <c r="N32" s="8" t="s">
        <v>1258</v>
      </c>
      <c r="O32" s="11">
        <v>1800</v>
      </c>
      <c r="P32" s="8" t="s">
        <v>43</v>
      </c>
      <c r="Q32" s="8" t="s">
        <v>52</v>
      </c>
      <c r="R32" s="8" t="s">
        <v>1979</v>
      </c>
      <c r="S32" s="8" t="s">
        <v>1980</v>
      </c>
      <c r="T32" s="8" t="s">
        <v>1980</v>
      </c>
      <c r="U32" s="8">
        <v>121.398883454655</v>
      </c>
      <c r="V32" s="8">
        <v>31.1997017000857</v>
      </c>
      <c r="W32" s="8"/>
      <c r="X32" s="15">
        <v>0.315</v>
      </c>
      <c r="Z32" s="15"/>
    </row>
    <row r="33" spans="1:26">
      <c r="A33" s="8">
        <v>4470</v>
      </c>
      <c r="B33" s="9">
        <v>44855</v>
      </c>
      <c r="C33" s="8" t="s">
        <v>1134</v>
      </c>
      <c r="D33" s="8">
        <v>121.409154870268</v>
      </c>
      <c r="E33" s="8">
        <v>31.2185899399918</v>
      </c>
      <c r="F33" s="8" t="s">
        <v>1789</v>
      </c>
      <c r="G33" s="8" t="s">
        <v>32</v>
      </c>
      <c r="H33" s="13">
        <v>7.79166666666667</v>
      </c>
      <c r="I33" s="8" t="s">
        <v>1135</v>
      </c>
      <c r="J33" s="8" t="s">
        <v>343</v>
      </c>
      <c r="K33" s="8" t="s">
        <v>99</v>
      </c>
      <c r="L33" s="8" t="s">
        <v>100</v>
      </c>
      <c r="M33" s="8">
        <v>780</v>
      </c>
      <c r="N33" s="8" t="s">
        <v>1258</v>
      </c>
      <c r="O33" s="11">
        <v>780</v>
      </c>
      <c r="P33" s="8" t="s">
        <v>66</v>
      </c>
      <c r="Q33" s="8" t="s">
        <v>13</v>
      </c>
      <c r="R33" s="8" t="s">
        <v>1981</v>
      </c>
      <c r="S33" s="8" t="s">
        <v>1982</v>
      </c>
      <c r="T33" s="8" t="s">
        <v>1982</v>
      </c>
      <c r="U33" s="8">
        <v>121.411406027827</v>
      </c>
      <c r="V33" s="8">
        <v>31.2173862926193</v>
      </c>
      <c r="W33" s="8"/>
      <c r="X33" s="15">
        <v>1.35</v>
      </c>
      <c r="Z33" s="15"/>
    </row>
    <row r="34" spans="1:26">
      <c r="A34" s="8">
        <v>4494</v>
      </c>
      <c r="B34" s="9">
        <v>44866</v>
      </c>
      <c r="C34" s="8" t="s">
        <v>604</v>
      </c>
      <c r="D34" s="8">
        <v>121.47817345462</v>
      </c>
      <c r="E34" s="8">
        <v>31.1578653986216</v>
      </c>
      <c r="F34" s="8" t="s">
        <v>1300</v>
      </c>
      <c r="G34" s="8" t="s">
        <v>21</v>
      </c>
      <c r="H34" s="10">
        <v>7.68055555555556</v>
      </c>
      <c r="I34" s="8" t="s">
        <v>623</v>
      </c>
      <c r="J34" s="8" t="s">
        <v>619</v>
      </c>
      <c r="K34" s="8" t="s">
        <v>176</v>
      </c>
      <c r="L34" s="8" t="s">
        <v>100</v>
      </c>
      <c r="M34" s="8">
        <v>1832.67</v>
      </c>
      <c r="N34" s="8">
        <v>0</v>
      </c>
      <c r="O34" s="11">
        <v>1832.67</v>
      </c>
      <c r="P34" s="8" t="s">
        <v>245</v>
      </c>
      <c r="Q34" s="8" t="s">
        <v>13</v>
      </c>
      <c r="R34" s="8" t="s">
        <v>1983</v>
      </c>
      <c r="S34" s="8" t="s">
        <v>1984</v>
      </c>
      <c r="T34" s="8" t="s">
        <v>1984</v>
      </c>
      <c r="U34" s="8">
        <v>121.389632792966</v>
      </c>
      <c r="V34" s="8">
        <v>31.1670255428851</v>
      </c>
      <c r="W34" s="8"/>
      <c r="X34" s="15">
        <v>11.7</v>
      </c>
      <c r="Z34" s="15"/>
    </row>
    <row r="35" spans="1:26">
      <c r="A35" s="8">
        <v>4517</v>
      </c>
      <c r="B35" s="9">
        <v>44866</v>
      </c>
      <c r="C35" s="8" t="s">
        <v>1131</v>
      </c>
      <c r="D35" s="8">
        <v>121.409278</v>
      </c>
      <c r="E35" s="8">
        <v>31.21878304</v>
      </c>
      <c r="F35" s="8" t="s">
        <v>1789</v>
      </c>
      <c r="G35" s="8" t="s">
        <v>32</v>
      </c>
      <c r="H35" s="10">
        <v>8.37083333333333</v>
      </c>
      <c r="I35" s="8" t="s">
        <v>1132</v>
      </c>
      <c r="J35" s="8" t="s">
        <v>447</v>
      </c>
      <c r="K35" s="8" t="s">
        <v>176</v>
      </c>
      <c r="L35" s="8" t="s">
        <v>100</v>
      </c>
      <c r="M35" s="8">
        <v>288.98</v>
      </c>
      <c r="N35" s="8">
        <v>0</v>
      </c>
      <c r="O35" s="11">
        <v>288.98</v>
      </c>
      <c r="P35" s="8" t="s">
        <v>245</v>
      </c>
      <c r="Q35" s="8" t="s">
        <v>52</v>
      </c>
      <c r="R35" s="8" t="s">
        <v>1985</v>
      </c>
      <c r="S35" s="8" t="s">
        <v>1986</v>
      </c>
      <c r="T35" s="8" t="s">
        <v>1986</v>
      </c>
      <c r="U35" s="8">
        <v>121.454140671692</v>
      </c>
      <c r="V35" s="8">
        <v>31.2178299749873</v>
      </c>
      <c r="W35" s="8"/>
      <c r="X35" s="15">
        <v>5.895</v>
      </c>
      <c r="Z35" s="15"/>
    </row>
    <row r="36" spans="1:26">
      <c r="A36" s="8">
        <v>4574</v>
      </c>
      <c r="B36" s="9">
        <v>44896</v>
      </c>
      <c r="C36" s="8" t="s">
        <v>566</v>
      </c>
      <c r="D36" s="8">
        <v>121.4772355</v>
      </c>
      <c r="E36" s="8">
        <v>31.15562848</v>
      </c>
      <c r="F36" s="8" t="s">
        <v>1300</v>
      </c>
      <c r="G36" s="8" t="s">
        <v>21</v>
      </c>
      <c r="H36" s="13">
        <v>6.875</v>
      </c>
      <c r="I36" s="8" t="s">
        <v>576</v>
      </c>
      <c r="J36" s="8" t="s">
        <v>577</v>
      </c>
      <c r="K36" s="8" t="s">
        <v>99</v>
      </c>
      <c r="L36" s="8" t="s">
        <v>100</v>
      </c>
      <c r="M36" s="8">
        <v>3400</v>
      </c>
      <c r="N36" s="8" t="s">
        <v>1258</v>
      </c>
      <c r="O36" s="11">
        <v>3400</v>
      </c>
      <c r="P36" s="8" t="s">
        <v>51</v>
      </c>
      <c r="Q36" s="8" t="s">
        <v>13</v>
      </c>
      <c r="R36" s="8" t="s">
        <v>1987</v>
      </c>
      <c r="S36" s="8" t="s">
        <v>1988</v>
      </c>
      <c r="T36" s="8" t="s">
        <v>1988</v>
      </c>
      <c r="U36" s="8">
        <v>121.591484039975</v>
      </c>
      <c r="V36" s="8">
        <v>31.2459963545645</v>
      </c>
      <c r="W36" s="8"/>
      <c r="X36" s="15">
        <v>17.705</v>
      </c>
      <c r="Z36" s="15"/>
    </row>
    <row r="37" spans="1:26">
      <c r="A37" s="8">
        <v>4663</v>
      </c>
      <c r="B37" s="9">
        <v>44896</v>
      </c>
      <c r="C37" s="8" t="s">
        <v>579</v>
      </c>
      <c r="D37" s="8">
        <v>121.480547068049</v>
      </c>
      <c r="E37" s="8">
        <v>31.1528696927974</v>
      </c>
      <c r="F37" s="8" t="s">
        <v>1300</v>
      </c>
      <c r="G37" s="8" t="s">
        <v>21</v>
      </c>
      <c r="H37" s="10">
        <v>5.885</v>
      </c>
      <c r="I37" s="8" t="s">
        <v>580</v>
      </c>
      <c r="J37" s="8" t="s">
        <v>447</v>
      </c>
      <c r="K37" s="8" t="s">
        <v>176</v>
      </c>
      <c r="L37" s="8" t="s">
        <v>100</v>
      </c>
      <c r="M37" s="8">
        <v>725.82</v>
      </c>
      <c r="N37" s="8">
        <v>0</v>
      </c>
      <c r="O37" s="11">
        <v>725.82</v>
      </c>
      <c r="P37" s="8" t="s">
        <v>66</v>
      </c>
      <c r="Q37" s="8" t="s">
        <v>52</v>
      </c>
      <c r="R37" s="8" t="s">
        <v>1989</v>
      </c>
      <c r="S37" s="8" t="s">
        <v>1990</v>
      </c>
      <c r="T37" s="8" t="s">
        <v>1990</v>
      </c>
      <c r="U37" s="8">
        <v>121.467630175175</v>
      </c>
      <c r="V37" s="8">
        <v>31.1712878938882</v>
      </c>
      <c r="W37" s="8"/>
      <c r="X37" s="15">
        <v>3.3</v>
      </c>
      <c r="Z37" s="15"/>
    </row>
    <row r="38" spans="1:26">
      <c r="A38" s="8">
        <v>5832</v>
      </c>
      <c r="B38" s="9">
        <v>45200</v>
      </c>
      <c r="C38" s="8" t="s">
        <v>579</v>
      </c>
      <c r="D38" s="8">
        <v>121.480547068049</v>
      </c>
      <c r="E38" s="8">
        <v>31.1528696927974</v>
      </c>
      <c r="F38" s="8" t="s">
        <v>1300</v>
      </c>
      <c r="G38" s="8" t="s">
        <v>21</v>
      </c>
      <c r="H38" s="13">
        <v>5.31666666666667</v>
      </c>
      <c r="I38" s="8" t="s">
        <v>582</v>
      </c>
      <c r="J38" s="8" t="s">
        <v>343</v>
      </c>
      <c r="K38" s="8" t="s">
        <v>99</v>
      </c>
      <c r="L38" s="8" t="s">
        <v>100</v>
      </c>
      <c r="M38" s="8">
        <v>2800</v>
      </c>
      <c r="N38" s="8"/>
      <c r="O38" s="11">
        <v>2800</v>
      </c>
      <c r="P38" s="8" t="s">
        <v>43</v>
      </c>
      <c r="Q38" s="8" t="s">
        <v>52</v>
      </c>
      <c r="R38" s="8" t="s">
        <v>1991</v>
      </c>
      <c r="S38" s="8" t="s">
        <v>1346</v>
      </c>
      <c r="T38" s="8" t="s">
        <v>1347</v>
      </c>
      <c r="U38" s="8">
        <v>121.531576520157</v>
      </c>
      <c r="V38" s="8">
        <v>31.2243472958125</v>
      </c>
      <c r="W38" s="8"/>
      <c r="X38" s="15">
        <v>10.95</v>
      </c>
      <c r="Z38" s="15"/>
    </row>
    <row r="39" spans="1:26">
      <c r="A39" s="8"/>
      <c r="B39" s="9">
        <v>45292</v>
      </c>
      <c r="C39" s="8" t="s">
        <v>1664</v>
      </c>
      <c r="D39" s="8">
        <v>121.4689464042</v>
      </c>
      <c r="E39" s="8">
        <v>31.1553650124</v>
      </c>
      <c r="F39" s="8" t="s">
        <v>1300</v>
      </c>
      <c r="G39" s="8" t="s">
        <v>21</v>
      </c>
      <c r="H39" s="10" t="s">
        <v>518</v>
      </c>
      <c r="I39" s="8" t="s">
        <v>590</v>
      </c>
      <c r="J39" s="8"/>
      <c r="K39" s="8"/>
      <c r="L39" s="8" t="s">
        <v>100</v>
      </c>
      <c r="M39" s="8">
        <v>10000</v>
      </c>
      <c r="N39" s="8"/>
      <c r="O39" s="11">
        <v>10000</v>
      </c>
      <c r="P39" s="8" t="s">
        <v>26</v>
      </c>
      <c r="Q39" s="8" t="s">
        <v>52</v>
      </c>
      <c r="R39" s="8" t="s">
        <v>591</v>
      </c>
      <c r="S39" s="8" t="s">
        <v>1992</v>
      </c>
      <c r="T39" s="8" t="s">
        <v>1992</v>
      </c>
      <c r="U39" s="8">
        <v>121.47783815924</v>
      </c>
      <c r="V39" s="8">
        <v>31.1593154944359</v>
      </c>
      <c r="W39" s="8"/>
      <c r="X39" s="15">
        <v>2.31</v>
      </c>
      <c r="Z39" s="15"/>
    </row>
    <row r="40" spans="1:26">
      <c r="A40" s="8"/>
      <c r="B40" s="9">
        <v>45292</v>
      </c>
      <c r="C40" s="8" t="s">
        <v>272</v>
      </c>
      <c r="D40" s="8">
        <v>121.4973757</v>
      </c>
      <c r="E40" s="8">
        <v>31.26621727</v>
      </c>
      <c r="F40" s="8" t="s">
        <v>1286</v>
      </c>
      <c r="G40" s="8" t="s">
        <v>21</v>
      </c>
      <c r="H40" s="10"/>
      <c r="I40" s="8" t="s">
        <v>965</v>
      </c>
      <c r="J40" s="8"/>
      <c r="K40" s="8"/>
      <c r="L40" s="8" t="s">
        <v>100</v>
      </c>
      <c r="M40" s="8">
        <v>10000</v>
      </c>
      <c r="N40" s="8"/>
      <c r="O40" s="11">
        <v>10000</v>
      </c>
      <c r="P40" s="8" t="s">
        <v>26</v>
      </c>
      <c r="Q40" s="8" t="s">
        <v>13</v>
      </c>
      <c r="R40" s="8" t="s">
        <v>966</v>
      </c>
      <c r="S40" s="12" t="s">
        <v>1993</v>
      </c>
      <c r="T40" s="12" t="s">
        <v>689</v>
      </c>
      <c r="U40" s="8">
        <v>121.482158981401</v>
      </c>
      <c r="V40" s="8">
        <v>31.2552046964045</v>
      </c>
      <c r="W40" s="8"/>
      <c r="X40" s="15">
        <v>2.775</v>
      </c>
      <c r="Z40" s="15"/>
    </row>
    <row r="41" spans="1:26">
      <c r="A41" s="8">
        <v>5783</v>
      </c>
      <c r="B41" s="9">
        <v>45352</v>
      </c>
      <c r="C41" s="8" t="s">
        <v>1097</v>
      </c>
      <c r="D41" s="8">
        <v>121.4990556</v>
      </c>
      <c r="E41" s="8">
        <v>31.23500675</v>
      </c>
      <c r="F41" s="8" t="s">
        <v>1275</v>
      </c>
      <c r="G41" s="8" t="s">
        <v>32</v>
      </c>
      <c r="H41" s="13">
        <v>11.9166666666667</v>
      </c>
      <c r="I41" s="8" t="s">
        <v>1098</v>
      </c>
      <c r="J41" s="8" t="s">
        <v>360</v>
      </c>
      <c r="K41" s="8" t="s">
        <v>99</v>
      </c>
      <c r="L41" s="8" t="s">
        <v>100</v>
      </c>
      <c r="M41" s="8">
        <v>4800</v>
      </c>
      <c r="N41" s="8"/>
      <c r="O41" s="11">
        <v>4800</v>
      </c>
      <c r="P41" s="8" t="s">
        <v>51</v>
      </c>
      <c r="Q41" s="8" t="s">
        <v>13</v>
      </c>
      <c r="R41" s="8" t="s">
        <v>1994</v>
      </c>
      <c r="S41" s="8" t="s">
        <v>1995</v>
      </c>
      <c r="T41" s="8" t="s">
        <v>1995</v>
      </c>
      <c r="U41" s="8">
        <v>121.508463773969</v>
      </c>
      <c r="V41" s="8">
        <v>31.1989821691644</v>
      </c>
      <c r="W41" s="8"/>
      <c r="X41" s="15">
        <v>4.99</v>
      </c>
      <c r="Z41" s="15"/>
    </row>
    <row r="42" spans="1:26">
      <c r="A42" s="8">
        <v>5772</v>
      </c>
      <c r="B42" s="9">
        <v>45377</v>
      </c>
      <c r="C42" s="8" t="s">
        <v>173</v>
      </c>
      <c r="D42" s="8">
        <v>121.472282054465</v>
      </c>
      <c r="E42" s="8">
        <v>31.213452571</v>
      </c>
      <c r="F42" s="8" t="s">
        <v>1334</v>
      </c>
      <c r="G42" s="8" t="s">
        <v>32</v>
      </c>
      <c r="H42" s="13">
        <v>6.41666666666667</v>
      </c>
      <c r="I42" s="8" t="s">
        <v>174</v>
      </c>
      <c r="J42" s="8" t="s">
        <v>175</v>
      </c>
      <c r="K42" s="8" t="s">
        <v>176</v>
      </c>
      <c r="L42" s="8" t="s">
        <v>100</v>
      </c>
      <c r="M42" s="8">
        <v>2080</v>
      </c>
      <c r="N42" s="8"/>
      <c r="O42" s="11">
        <v>2080</v>
      </c>
      <c r="P42" s="8" t="s">
        <v>177</v>
      </c>
      <c r="Q42" s="8" t="s">
        <v>13</v>
      </c>
      <c r="R42" s="8" t="s">
        <v>1996</v>
      </c>
      <c r="S42" s="8" t="s">
        <v>1997</v>
      </c>
      <c r="T42" s="8" t="s">
        <v>373</v>
      </c>
      <c r="U42" s="8">
        <v>121.465787929219</v>
      </c>
      <c r="V42" s="8">
        <v>31.2341273567834</v>
      </c>
      <c r="W42" s="8"/>
      <c r="X42" s="15">
        <v>2.725</v>
      </c>
      <c r="Z42" s="15"/>
    </row>
    <row r="43" spans="1:26">
      <c r="A43" s="8">
        <v>5822</v>
      </c>
      <c r="B43" s="9">
        <v>45383</v>
      </c>
      <c r="C43" s="8" t="s">
        <v>358</v>
      </c>
      <c r="D43" s="8">
        <v>121.404708326896</v>
      </c>
      <c r="E43" s="8">
        <v>31.2516288692467</v>
      </c>
      <c r="F43" s="8" t="s">
        <v>1498</v>
      </c>
      <c r="G43" s="8" t="s">
        <v>21</v>
      </c>
      <c r="H43" s="10">
        <v>3.37777777777778</v>
      </c>
      <c r="I43" s="8" t="s">
        <v>359</v>
      </c>
      <c r="J43" s="8" t="s">
        <v>360</v>
      </c>
      <c r="K43" s="8" t="s">
        <v>99</v>
      </c>
      <c r="L43" s="8" t="s">
        <v>100</v>
      </c>
      <c r="M43" s="8">
        <v>2700</v>
      </c>
      <c r="N43" s="8"/>
      <c r="O43" s="11">
        <v>2700</v>
      </c>
      <c r="P43" s="8" t="s">
        <v>51</v>
      </c>
      <c r="Q43" s="8" t="s">
        <v>13</v>
      </c>
      <c r="R43" s="8" t="s">
        <v>1998</v>
      </c>
      <c r="S43" s="8" t="s">
        <v>1999</v>
      </c>
      <c r="T43" s="8" t="s">
        <v>1999</v>
      </c>
      <c r="U43" s="8">
        <v>121.402040906927</v>
      </c>
      <c r="V43" s="8">
        <v>31.2591001453013</v>
      </c>
      <c r="W43" s="8"/>
      <c r="X43" s="15">
        <v>1.525</v>
      </c>
      <c r="Z43" s="15"/>
    </row>
    <row r="44" spans="1:26">
      <c r="A44" s="8">
        <v>5777</v>
      </c>
      <c r="B44" s="9">
        <v>45383</v>
      </c>
      <c r="C44" s="8" t="s">
        <v>358</v>
      </c>
      <c r="D44" s="8">
        <v>121.404708326896</v>
      </c>
      <c r="E44" s="8">
        <v>31.2516288692467</v>
      </c>
      <c r="F44" s="8" t="s">
        <v>1498</v>
      </c>
      <c r="G44" s="8" t="s">
        <v>21</v>
      </c>
      <c r="H44" s="13">
        <v>4.125</v>
      </c>
      <c r="I44" s="8" t="s">
        <v>362</v>
      </c>
      <c r="J44" s="8" t="s">
        <v>175</v>
      </c>
      <c r="K44" s="8" t="s">
        <v>176</v>
      </c>
      <c r="L44" s="8" t="s">
        <v>100</v>
      </c>
      <c r="M44" s="8">
        <v>1200</v>
      </c>
      <c r="N44" s="8"/>
      <c r="O44" s="11">
        <v>1200</v>
      </c>
      <c r="P44" s="8" t="s">
        <v>26</v>
      </c>
      <c r="Q44" s="8" t="s">
        <v>13</v>
      </c>
      <c r="R44" s="8" t="s">
        <v>1958</v>
      </c>
      <c r="S44" s="8" t="s">
        <v>2000</v>
      </c>
      <c r="T44" s="8" t="s">
        <v>1959</v>
      </c>
      <c r="U44" s="8">
        <v>121.410839667268</v>
      </c>
      <c r="V44" s="8">
        <v>31.2397575397585</v>
      </c>
      <c r="W44" s="8"/>
      <c r="X44" s="15">
        <v>2.31</v>
      </c>
      <c r="Z44" s="15"/>
    </row>
    <row r="45" spans="1:26">
      <c r="A45" s="8">
        <v>5811</v>
      </c>
      <c r="B45" s="9">
        <v>45383</v>
      </c>
      <c r="C45" s="8" t="s">
        <v>1123</v>
      </c>
      <c r="D45" s="8">
        <v>121.409154870268</v>
      </c>
      <c r="E45" s="8">
        <v>31.2185899399918</v>
      </c>
      <c r="F45" s="8" t="s">
        <v>1789</v>
      </c>
      <c r="G45" s="8" t="s">
        <v>32</v>
      </c>
      <c r="H45" s="10">
        <v>7.6</v>
      </c>
      <c r="I45" s="8" t="s">
        <v>1126</v>
      </c>
      <c r="J45" s="8" t="s">
        <v>703</v>
      </c>
      <c r="K45" s="8" t="s">
        <v>176</v>
      </c>
      <c r="L45" s="8" t="s">
        <v>100</v>
      </c>
      <c r="M45" s="8">
        <v>976.20985952</v>
      </c>
      <c r="N45" s="8"/>
      <c r="O45" s="11">
        <v>976.20985952</v>
      </c>
      <c r="P45" s="8" t="s">
        <v>37</v>
      </c>
      <c r="Q45" s="8" t="s">
        <v>13</v>
      </c>
      <c r="R45" s="8" t="s">
        <v>1742</v>
      </c>
      <c r="S45" s="8" t="s">
        <v>1599</v>
      </c>
      <c r="T45" s="8" t="s">
        <v>1599</v>
      </c>
      <c r="U45" s="8">
        <v>121.452284450446</v>
      </c>
      <c r="V45" s="8">
        <v>31.230965551168</v>
      </c>
      <c r="W45" s="8"/>
      <c r="X45" s="15">
        <v>5.685</v>
      </c>
      <c r="Z45" s="15"/>
    </row>
    <row r="46" spans="1:26">
      <c r="A46" s="8">
        <v>6100</v>
      </c>
      <c r="B46" s="9">
        <v>45384</v>
      </c>
      <c r="C46" s="8" t="s">
        <v>358</v>
      </c>
      <c r="D46" s="8">
        <v>121.404708326896</v>
      </c>
      <c r="E46" s="8">
        <v>31.2516288692467</v>
      </c>
      <c r="F46" s="8" t="s">
        <v>1498</v>
      </c>
      <c r="G46" s="8" t="s">
        <v>21</v>
      </c>
      <c r="H46" s="13">
        <v>3.66666666666667</v>
      </c>
      <c r="I46" s="8" t="s">
        <v>364</v>
      </c>
      <c r="J46" s="8" t="s">
        <v>98</v>
      </c>
      <c r="K46" s="8" t="s">
        <v>99</v>
      </c>
      <c r="L46" s="8" t="s">
        <v>100</v>
      </c>
      <c r="M46" s="8">
        <v>1200</v>
      </c>
      <c r="N46" s="8"/>
      <c r="O46" s="11">
        <v>1200</v>
      </c>
      <c r="P46" s="8" t="s">
        <v>26</v>
      </c>
      <c r="Q46" s="8" t="s">
        <v>13</v>
      </c>
      <c r="R46" s="8" t="s">
        <v>2001</v>
      </c>
      <c r="S46" s="8" t="s">
        <v>1959</v>
      </c>
      <c r="T46" s="8" t="s">
        <v>1959</v>
      </c>
      <c r="U46" s="8">
        <v>121.410839667268</v>
      </c>
      <c r="V46" s="8">
        <v>31.2397575397585</v>
      </c>
      <c r="W46" s="8"/>
      <c r="X46" s="15">
        <v>2.31</v>
      </c>
      <c r="Z46" s="15"/>
    </row>
    <row r="47" spans="1:26">
      <c r="A47" s="8">
        <v>5866</v>
      </c>
      <c r="B47" s="9">
        <v>45413</v>
      </c>
      <c r="C47" s="8" t="s">
        <v>272</v>
      </c>
      <c r="D47" s="8">
        <v>121.4973757</v>
      </c>
      <c r="E47" s="8">
        <v>31.26621727</v>
      </c>
      <c r="F47" s="8" t="s">
        <v>1286</v>
      </c>
      <c r="G47" s="8" t="s">
        <v>21</v>
      </c>
      <c r="H47" s="10">
        <v>4.12285714285714</v>
      </c>
      <c r="I47" s="8" t="s">
        <v>967</v>
      </c>
      <c r="J47" s="8" t="s">
        <v>343</v>
      </c>
      <c r="K47" s="8" t="s">
        <v>99</v>
      </c>
      <c r="L47" s="8" t="s">
        <v>100</v>
      </c>
      <c r="M47" s="8">
        <v>10974.58</v>
      </c>
      <c r="N47" s="8"/>
      <c r="O47" s="11">
        <v>10974.58</v>
      </c>
      <c r="P47" s="8" t="s">
        <v>37</v>
      </c>
      <c r="Q47" s="8" t="s">
        <v>13</v>
      </c>
      <c r="R47" s="8" t="s">
        <v>2002</v>
      </c>
      <c r="S47" s="8" t="s">
        <v>1993</v>
      </c>
      <c r="T47" s="8" t="s">
        <v>689</v>
      </c>
      <c r="U47" s="8">
        <v>121.481978350503</v>
      </c>
      <c r="V47" s="8">
        <v>31.255183177847</v>
      </c>
      <c r="W47" s="8"/>
      <c r="X47" s="15">
        <v>2.885</v>
      </c>
      <c r="Z47" s="15"/>
    </row>
    <row r="48" spans="1:26">
      <c r="A48" s="8">
        <v>5847</v>
      </c>
      <c r="B48" s="9">
        <v>45413</v>
      </c>
      <c r="C48" s="8" t="s">
        <v>442</v>
      </c>
      <c r="D48" s="8">
        <v>121.4402698</v>
      </c>
      <c r="E48" s="8">
        <v>31.22348451</v>
      </c>
      <c r="F48" s="8" t="s">
        <v>1293</v>
      </c>
      <c r="G48" s="8" t="s">
        <v>32</v>
      </c>
      <c r="H48" s="13">
        <v>7.79166666666667</v>
      </c>
      <c r="I48" s="8" t="s">
        <v>454</v>
      </c>
      <c r="J48" s="8" t="s">
        <v>98</v>
      </c>
      <c r="K48" s="8" t="s">
        <v>99</v>
      </c>
      <c r="L48" s="8" t="s">
        <v>100</v>
      </c>
      <c r="M48" s="8">
        <v>2000</v>
      </c>
      <c r="N48" s="8"/>
      <c r="O48" s="11">
        <v>2000</v>
      </c>
      <c r="P48" s="8" t="s">
        <v>43</v>
      </c>
      <c r="Q48" s="8" t="s">
        <v>52</v>
      </c>
      <c r="R48" s="8" t="s">
        <v>2003</v>
      </c>
      <c r="S48" s="8" t="s">
        <v>2004</v>
      </c>
      <c r="T48" s="8" t="s">
        <v>2005</v>
      </c>
      <c r="U48" s="8">
        <v>121.458663542854</v>
      </c>
      <c r="V48" s="8">
        <v>31.2300770428701</v>
      </c>
      <c r="W48" s="8"/>
      <c r="X48" s="15">
        <v>2.505</v>
      </c>
      <c r="Z48" s="15"/>
    </row>
    <row r="49" ht="28" customHeight="1" spans="1:27">
      <c r="A49" s="8">
        <v>5876</v>
      </c>
      <c r="B49" s="9">
        <v>45413</v>
      </c>
      <c r="C49" s="8" t="s">
        <v>1000</v>
      </c>
      <c r="D49" s="8">
        <v>121.39830225</v>
      </c>
      <c r="E49" s="8">
        <v>31.20878058</v>
      </c>
      <c r="F49" s="8" t="s">
        <v>1565</v>
      </c>
      <c r="G49" s="8" t="s">
        <v>32</v>
      </c>
      <c r="H49" s="10">
        <v>6.82916666666667</v>
      </c>
      <c r="I49" s="8" t="s">
        <v>1005</v>
      </c>
      <c r="J49" s="8"/>
      <c r="K49" s="8"/>
      <c r="L49" s="8" t="s">
        <v>100</v>
      </c>
      <c r="M49" s="8">
        <v>1558.83</v>
      </c>
      <c r="N49" s="8"/>
      <c r="O49" s="11">
        <v>1558.83</v>
      </c>
      <c r="P49" s="8" t="s">
        <v>37</v>
      </c>
      <c r="Q49" s="8" t="s">
        <v>52</v>
      </c>
      <c r="R49" s="8" t="s">
        <v>2006</v>
      </c>
      <c r="S49" s="17" t="s">
        <v>2007</v>
      </c>
      <c r="T49" s="17" t="s">
        <v>1601</v>
      </c>
      <c r="U49" s="8">
        <v>121.410432262109</v>
      </c>
      <c r="V49" s="8">
        <v>31.2181753435479</v>
      </c>
      <c r="W49" s="8"/>
      <c r="X49" s="15">
        <v>2.545</v>
      </c>
      <c r="Z49" s="15"/>
    </row>
    <row r="50" spans="1:27">
      <c r="A50" s="8">
        <v>5857</v>
      </c>
      <c r="B50" s="9">
        <v>45413</v>
      </c>
      <c r="C50" s="8" t="s">
        <v>869</v>
      </c>
      <c r="D50" s="8">
        <v>121.5263734</v>
      </c>
      <c r="E50" s="8">
        <v>31.22682611</v>
      </c>
      <c r="F50" s="8" t="s">
        <v>1257</v>
      </c>
      <c r="G50" s="8" t="s">
        <v>32</v>
      </c>
      <c r="H50" s="10">
        <v>5.59166666666667</v>
      </c>
      <c r="I50" s="8" t="s">
        <v>1084</v>
      </c>
      <c r="J50" s="8" t="s">
        <v>98</v>
      </c>
      <c r="K50" s="8" t="s">
        <v>99</v>
      </c>
      <c r="L50" s="8" t="s">
        <v>100</v>
      </c>
      <c r="M50" s="8">
        <v>508.48</v>
      </c>
      <c r="N50" s="8"/>
      <c r="O50" s="11">
        <v>508.48</v>
      </c>
      <c r="P50" s="8" t="s">
        <v>37</v>
      </c>
      <c r="Q50" s="8" t="s">
        <v>52</v>
      </c>
      <c r="R50" s="8" t="s">
        <v>2008</v>
      </c>
      <c r="S50" s="8" t="s">
        <v>2009</v>
      </c>
      <c r="T50" s="8" t="s">
        <v>1654</v>
      </c>
      <c r="U50" s="8">
        <v>121.522764175529</v>
      </c>
      <c r="V50" s="8">
        <v>31.2295929708254</v>
      </c>
      <c r="W50" s="8"/>
      <c r="X50" s="15">
        <v>1.35</v>
      </c>
      <c r="Z50" s="15"/>
    </row>
    <row r="51" spans="1:27">
      <c r="A51" s="8">
        <v>5887</v>
      </c>
      <c r="B51" s="9">
        <v>45435</v>
      </c>
      <c r="C51" s="8" t="s">
        <v>233</v>
      </c>
      <c r="D51" s="8">
        <v>121.450045802</v>
      </c>
      <c r="E51" s="8">
        <v>31.2551927343</v>
      </c>
      <c r="F51" s="8" t="s">
        <v>1467</v>
      </c>
      <c r="G51" s="8" t="s">
        <v>21</v>
      </c>
      <c r="H51" s="13">
        <v>4.58333333333333</v>
      </c>
      <c r="I51" s="8" t="s">
        <v>236</v>
      </c>
      <c r="J51" s="8" t="s">
        <v>175</v>
      </c>
      <c r="K51" s="8" t="s">
        <v>176</v>
      </c>
      <c r="L51" s="8" t="s">
        <v>100</v>
      </c>
      <c r="M51" s="8">
        <v>1100</v>
      </c>
      <c r="N51" s="8"/>
      <c r="O51" s="11">
        <v>1100</v>
      </c>
      <c r="P51" s="8" t="s">
        <v>51</v>
      </c>
      <c r="Q51" s="8" t="s">
        <v>13</v>
      </c>
      <c r="R51" s="8" t="s">
        <v>2010</v>
      </c>
      <c r="S51" s="8" t="s">
        <v>2011</v>
      </c>
      <c r="T51" s="8" t="s">
        <v>2011</v>
      </c>
      <c r="U51" s="8">
        <v>121.454811807884</v>
      </c>
      <c r="V51" s="8">
        <v>31.2379751527903</v>
      </c>
      <c r="W51" s="8"/>
      <c r="X51" s="15">
        <v>2.885</v>
      </c>
      <c r="Z51" s="15"/>
    </row>
    <row r="52" spans="1:27">
      <c r="A52" s="8">
        <v>5932</v>
      </c>
      <c r="B52" s="9">
        <v>45444</v>
      </c>
      <c r="C52" s="8" t="s">
        <v>805</v>
      </c>
      <c r="D52" s="8">
        <v>121.427287629844</v>
      </c>
      <c r="E52" s="8">
        <v>31.1605038617243</v>
      </c>
      <c r="F52" s="8" t="s">
        <v>1286</v>
      </c>
      <c r="G52" s="8" t="s">
        <v>21</v>
      </c>
      <c r="H52" s="10">
        <v>3.675</v>
      </c>
      <c r="I52" s="8" t="s">
        <v>806</v>
      </c>
      <c r="J52" s="8" t="s">
        <v>360</v>
      </c>
      <c r="K52" s="8" t="s">
        <v>99</v>
      </c>
      <c r="L52" s="8" t="s">
        <v>100</v>
      </c>
      <c r="M52" s="8">
        <v>6018.28</v>
      </c>
      <c r="N52" s="8"/>
      <c r="O52" s="11">
        <v>6018.28</v>
      </c>
      <c r="P52" s="8" t="s">
        <v>26</v>
      </c>
      <c r="Q52" s="8" t="s">
        <v>52</v>
      </c>
      <c r="R52" s="8" t="s">
        <v>1996</v>
      </c>
      <c r="S52" s="8" t="s">
        <v>373</v>
      </c>
      <c r="T52" s="8" t="s">
        <v>373</v>
      </c>
      <c r="U52" s="8">
        <v>121.465787929219</v>
      </c>
      <c r="V52" s="8">
        <v>31.2341273567834</v>
      </c>
      <c r="W52" s="8"/>
      <c r="X52" s="15">
        <v>10.375</v>
      </c>
      <c r="Z52" s="15"/>
    </row>
    <row r="53" spans="1:27">
      <c r="A53" s="8">
        <v>5918</v>
      </c>
      <c r="B53" s="9">
        <v>45444</v>
      </c>
      <c r="C53" s="8" t="s">
        <v>1123</v>
      </c>
      <c r="D53" s="8">
        <v>121.409154870268</v>
      </c>
      <c r="E53" s="8">
        <v>31.2185899399918</v>
      </c>
      <c r="F53" s="8" t="s">
        <v>1789</v>
      </c>
      <c r="G53" s="8" t="s">
        <v>32</v>
      </c>
      <c r="H53" s="13">
        <v>7.33333333333333</v>
      </c>
      <c r="I53" s="8" t="s">
        <v>1124</v>
      </c>
      <c r="J53" s="8" t="s">
        <v>577</v>
      </c>
      <c r="K53" s="8" t="s">
        <v>99</v>
      </c>
      <c r="L53" s="8" t="s">
        <v>100</v>
      </c>
      <c r="M53" s="8">
        <v>750</v>
      </c>
      <c r="N53" s="8"/>
      <c r="O53" s="11">
        <v>750</v>
      </c>
      <c r="P53" s="8" t="s">
        <v>51</v>
      </c>
      <c r="Q53" s="8" t="s">
        <v>13</v>
      </c>
      <c r="R53" s="8" t="s">
        <v>2012</v>
      </c>
      <c r="S53" s="8" t="s">
        <v>1982</v>
      </c>
      <c r="T53" s="8" t="s">
        <v>1982</v>
      </c>
      <c r="U53" s="8">
        <v>121.411406027827</v>
      </c>
      <c r="V53" s="8">
        <v>31.2173862926193</v>
      </c>
      <c r="W53" s="8"/>
      <c r="X53" s="15">
        <v>1.35</v>
      </c>
      <c r="Z53" s="15"/>
    </row>
    <row r="54" spans="1:27">
      <c r="A54" s="8">
        <v>5976</v>
      </c>
      <c r="B54" s="9">
        <v>45474</v>
      </c>
      <c r="C54" s="8" t="s">
        <v>466</v>
      </c>
      <c r="D54" s="8">
        <v>121.534892407912</v>
      </c>
      <c r="E54" s="8">
        <v>31.2234112502917</v>
      </c>
      <c r="F54" s="8" t="s">
        <v>1257</v>
      </c>
      <c r="G54" s="8" t="s">
        <v>32</v>
      </c>
      <c r="H54" s="13">
        <v>5.95833333333333</v>
      </c>
      <c r="I54" s="8" t="s">
        <v>486</v>
      </c>
      <c r="J54" s="8" t="s">
        <v>360</v>
      </c>
      <c r="K54" s="8" t="s">
        <v>99</v>
      </c>
      <c r="L54" s="8" t="s">
        <v>100</v>
      </c>
      <c r="M54" s="8">
        <v>1300</v>
      </c>
      <c r="N54" s="8"/>
      <c r="O54" s="11">
        <v>1300</v>
      </c>
      <c r="P54" s="8" t="s">
        <v>43</v>
      </c>
      <c r="Q54" s="8" t="s">
        <v>13</v>
      </c>
      <c r="R54" s="8"/>
      <c r="S54" s="8" t="s">
        <v>2013</v>
      </c>
      <c r="T54" s="8" t="s">
        <v>2013</v>
      </c>
      <c r="U54" s="8">
        <v>121.75963325272</v>
      </c>
      <c r="V54" s="8">
        <v>31.1127649165662</v>
      </c>
      <c r="W54" s="8"/>
      <c r="X54" s="15">
        <v>32.45</v>
      </c>
      <c r="Z54" s="15"/>
    </row>
    <row r="55" spans="1:27">
      <c r="A55" s="8">
        <v>5961</v>
      </c>
      <c r="B55" s="9">
        <v>45476</v>
      </c>
      <c r="C55" s="8" t="s">
        <v>935</v>
      </c>
      <c r="D55" s="8">
        <v>121.454770440836</v>
      </c>
      <c r="E55" s="8">
        <v>31.1683868482641</v>
      </c>
      <c r="F55" s="8" t="s">
        <v>1272</v>
      </c>
      <c r="G55" s="8" t="s">
        <v>21</v>
      </c>
      <c r="H55" s="13">
        <v>4.58333333333333</v>
      </c>
      <c r="I55" s="8" t="s">
        <v>940</v>
      </c>
      <c r="J55" s="8" t="s">
        <v>360</v>
      </c>
      <c r="K55" s="8" t="s">
        <v>99</v>
      </c>
      <c r="L55" s="8" t="s">
        <v>100</v>
      </c>
      <c r="M55" s="8">
        <v>2000</v>
      </c>
      <c r="N55" s="8"/>
      <c r="O55" s="11">
        <v>2000</v>
      </c>
      <c r="P55" s="8" t="s">
        <v>51</v>
      </c>
      <c r="Q55" s="8" t="s">
        <v>52</v>
      </c>
      <c r="R55" s="8" t="s">
        <v>2014</v>
      </c>
      <c r="S55" s="8" t="s">
        <v>2015</v>
      </c>
      <c r="T55" s="8" t="s">
        <v>2015</v>
      </c>
      <c r="U55" s="8">
        <v>121.493318085865</v>
      </c>
      <c r="V55" s="8">
        <v>31.2509217189165</v>
      </c>
      <c r="W55" s="8"/>
      <c r="X55" s="15">
        <v>12.25</v>
      </c>
      <c r="Z55" s="15"/>
    </row>
    <row r="56" spans="1:27">
      <c r="A56" s="8">
        <v>6141</v>
      </c>
      <c r="B56" s="9">
        <v>45534</v>
      </c>
      <c r="C56" s="8" t="s">
        <v>701</v>
      </c>
      <c r="D56" s="8">
        <v>121.450221631061</v>
      </c>
      <c r="E56" s="8">
        <v>31.2343154579826</v>
      </c>
      <c r="F56" s="8" t="s">
        <v>1293</v>
      </c>
      <c r="G56" s="8" t="s">
        <v>32</v>
      </c>
      <c r="H56" s="18">
        <v>5.95833333333333</v>
      </c>
      <c r="I56" s="8" t="s">
        <v>702</v>
      </c>
      <c r="J56" s="8" t="s">
        <v>703</v>
      </c>
      <c r="K56" s="8" t="s">
        <v>176</v>
      </c>
      <c r="L56" s="8" t="s">
        <v>100</v>
      </c>
      <c r="M56" s="8">
        <v>4500</v>
      </c>
      <c r="N56" s="8"/>
      <c r="O56" s="19">
        <v>4500</v>
      </c>
      <c r="P56" s="8" t="s">
        <v>26</v>
      </c>
      <c r="Q56" s="8" t="s">
        <v>13</v>
      </c>
      <c r="R56" s="8" t="s">
        <v>2016</v>
      </c>
      <c r="S56" s="8" t="s">
        <v>2017</v>
      </c>
      <c r="T56" s="8" t="s">
        <v>2017</v>
      </c>
      <c r="U56" s="8">
        <v>121.448902194377</v>
      </c>
      <c r="V56" s="8">
        <v>31.2463040764549</v>
      </c>
      <c r="W56" s="8"/>
      <c r="X56" s="15">
        <v>1.93</v>
      </c>
      <c r="Z56" s="15"/>
    </row>
    <row r="57" spans="1:27">
      <c r="H57" s="20" t="s">
        <v>1476</v>
      </c>
      <c r="I57" s="21"/>
      <c r="J57" s="21"/>
    </row>
    <row r="58" spans="1:27">
      <c r="H58" s="22" t="s">
        <v>1477</v>
      </c>
      <c r="I58" s="21">
        <f>COUNTIF($H$2:$H$56,"&lt;=5")</f>
        <v>12</v>
      </c>
      <c r="J58" s="23">
        <f>I58/$I$63</f>
        <v>0.226415094339623</v>
      </c>
      <c r="R58" t="s">
        <v>13</v>
      </c>
      <c r="S58" t="s">
        <v>1478</v>
      </c>
      <c r="T58" t="s">
        <v>1479</v>
      </c>
      <c r="Y58" s="24" t="s">
        <v>1480</v>
      </c>
      <c r="Z58" s="25">
        <f>COUNTIF($X$2:$X$56,"&lt;2")</f>
        <v>12</v>
      </c>
      <c r="AA58" s="26">
        <f>Z58/$Z$68</f>
        <v>0.218181818181818</v>
      </c>
    </row>
    <row r="59" spans="1:27">
      <c r="H59" s="22" t="s">
        <v>1481</v>
      </c>
      <c r="I59" s="21">
        <f>COUNTIF($H$2:$H$56,"&gt;=5")-COUNTIF($H$2:$H$56,"&gt;=7")</f>
        <v>23</v>
      </c>
      <c r="J59" s="23">
        <f>I59/$I$63</f>
        <v>0.433962264150943</v>
      </c>
      <c r="R59" t="s">
        <v>13</v>
      </c>
      <c r="S59">
        <v>37</v>
      </c>
      <c r="T59" s="27">
        <f>S59/S60</f>
        <v>0.672727272727273</v>
      </c>
      <c r="Y59" s="24" t="s">
        <v>1482</v>
      </c>
      <c r="Z59" s="24">
        <f>COUNTIF($X$2:$X$56,"&gt;=2")-COUNTIF($X$2:$X$56,"&gt;=4")</f>
        <v>20</v>
      </c>
      <c r="AA59" s="26">
        <f t="shared" ref="AA59:AA67" si="0">Z59/$Z$68</f>
        <v>0.363636363636364</v>
      </c>
    </row>
    <row r="60" spans="1:27">
      <c r="H60" s="22" t="s">
        <v>1483</v>
      </c>
      <c r="I60" s="21">
        <f>COUNTIF($H$2:$H$56,"&gt;=7")-COUNTIF($H$2:$H$56,"&gt;=9")</f>
        <v>15</v>
      </c>
      <c r="J60" s="23">
        <f>I60/$I$63</f>
        <v>0.283018867924528</v>
      </c>
      <c r="S60">
        <v>55</v>
      </c>
      <c r="Y60" s="24" t="s">
        <v>1484</v>
      </c>
      <c r="Z60" s="24">
        <f>COUNTIF($X$2:$X$56,"&gt;=4")-COUNTIF($X$2:$X$56,"&gt;=6")</f>
        <v>4</v>
      </c>
      <c r="AA60" s="26">
        <f t="shared" si="0"/>
        <v>0.0727272727272727</v>
      </c>
    </row>
    <row r="61" spans="1:27">
      <c r="H61" s="22" t="s">
        <v>1485</v>
      </c>
      <c r="I61" s="21">
        <f>COUNTIF($H$2:$H$56,"&gt;=9")-COUNTIF($H$2:$H$56,"&gt;=11")</f>
        <v>1</v>
      </c>
      <c r="J61" s="23">
        <f>I61/$I$63</f>
        <v>0.0188679245283019</v>
      </c>
      <c r="Y61" s="24" t="s">
        <v>1486</v>
      </c>
      <c r="Z61" s="24">
        <f>COUNTIF($X$2:$X$56,"&gt;=6")-COUNTIF($X$2:$X$56,"&gt;=8")</f>
        <v>3</v>
      </c>
      <c r="AA61" s="26">
        <f t="shared" si="0"/>
        <v>0.0545454545454545</v>
      </c>
    </row>
    <row r="62" ht="14.5" spans="1:27">
      <c r="H62" s="22" t="s">
        <v>1487</v>
      </c>
      <c r="I62" s="21">
        <f>COUNTIF($H$2:$H$56,"&gt;=11")</f>
        <v>2</v>
      </c>
      <c r="J62" s="23">
        <f>I62/$I$63</f>
        <v>0.0377358490566038</v>
      </c>
      <c r="R62" t="s">
        <v>1490</v>
      </c>
      <c r="S62" s="26">
        <f>S59/477</f>
        <v>0.0775681341719078</v>
      </c>
      <c r="Y62" s="24" t="s">
        <v>1488</v>
      </c>
      <c r="Z62" s="24">
        <f>COUNTIF($X$2:$X$56,"&gt;=8")-COUNTIF($X$2:$X$56,"&gt;=10")</f>
        <v>2</v>
      </c>
      <c r="AA62" s="26">
        <f t="shared" si="0"/>
        <v>0.0363636363636364</v>
      </c>
    </row>
    <row r="63" spans="1:27">
      <c r="I63">
        <f>SUM(I58:I62)</f>
        <v>53</v>
      </c>
      <c r="J63">
        <f>SUM(J58:J62)</f>
        <v>1</v>
      </c>
      <c r="Y63" s="24" t="s">
        <v>1489</v>
      </c>
      <c r="Z63" s="24">
        <f>COUNTIF($X$2:$X$56,"&gt;=10")-COUNTIF($X$2:$X$56,"&gt;=12")</f>
        <v>5</v>
      </c>
      <c r="AA63" s="26">
        <f t="shared" si="0"/>
        <v>0.0909090909090909</v>
      </c>
    </row>
    <row r="64" spans="1:27">
      <c r="I64" s="28" t="s">
        <v>2018</v>
      </c>
      <c r="Y64" s="24" t="s">
        <v>1491</v>
      </c>
      <c r="Z64" s="24">
        <f>COUNTIF($X$2:$X$56,"&gt;=12")-COUNTIF($X$2:$X$56,"&gt;=14")</f>
        <v>2</v>
      </c>
      <c r="AA64" s="26">
        <f t="shared" si="0"/>
        <v>0.0363636363636364</v>
      </c>
    </row>
    <row r="65" spans="25:27">
      <c r="Y65" s="24" t="s">
        <v>1492</v>
      </c>
      <c r="Z65" s="24">
        <f>COUNTIF($X$2:$X$56,"&gt;=14")-COUNTIF($X$2:$X$56,"&gt;=16")</f>
        <v>0</v>
      </c>
      <c r="AA65" s="26">
        <f t="shared" si="0"/>
        <v>0</v>
      </c>
    </row>
    <row r="66" spans="25:27">
      <c r="Y66" s="24" t="s">
        <v>1493</v>
      </c>
      <c r="Z66" s="24">
        <f>COUNTIF($X$2:$X$56,"&gt;=16")-COUNTIF($X$2:$X$56,"&gt;=18")</f>
        <v>2</v>
      </c>
      <c r="AA66" s="26">
        <f t="shared" si="0"/>
        <v>0.0363636363636364</v>
      </c>
    </row>
    <row r="67" spans="25:27">
      <c r="Y67" s="24" t="s">
        <v>1494</v>
      </c>
      <c r="Z67" s="24">
        <f>COUNTIF($X$2:$X$56,"&gt;=18")</f>
        <v>5</v>
      </c>
      <c r="AA67" s="26">
        <f t="shared" si="0"/>
        <v>0.0909090909090909</v>
      </c>
    </row>
    <row r="68" spans="25:27">
      <c r="Z68">
        <f>SUM(Z58:Z67)</f>
        <v>55</v>
      </c>
      <c r="AA68">
        <f>SUM(AA58:AA67)</f>
        <v>1</v>
      </c>
    </row>
  </sheetData>
  <autoFilter xmlns:etc="http://www.wps.cn/officeDocument/2017/etCustomData" ref="A1:X64" etc:filterBottomFollowUsedRange="0">
    <extLst/>
  </autoFilter>
  <conditionalFormatting sqref="A2 A3 A4 A5 A6 A7 A8 A9 A10 A11 A12 A13 A14 A15 A16 A17 A18 A19 A20 A21 A22 A23 A24 A25 A26 A27:A28 A29 A30 A31 A32:A33 A34 A35 A36 A37 A38 A39 A40 A41 A42 A43 A44 A45 A46 A47 A48 A49 A50 A51 A52 A53 A54 A55 A56">
    <cfRule type="duplicateValues" dxfId="0" priority="2"/>
  </conditionalFormatting>
  <conditionalFormatting sqref="I2 I3 I4 I5 I6 I7 I8 I9 I10 I11 I12 I13 I14 I15 I16 I17 I18 I19 I20 I21 I22 I23 I24 I25 I26 I27:I28 I29 I30 I31 I32:I33 I34 I35 I36 I37 I38 I39 I40 I41 I42 I43 I44 I45 I46 I47 I48 I49 I50 I51 I52 I53 I54 I55 I56">
    <cfRule type="duplicateValues" dxfId="0" priority="1"/>
  </conditionalFormatting>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D7DA0D7-E726-437E-92B0-6D470083F48D}">
  <ds:schemaRefs/>
</ds:datastoreItem>
</file>

<file path=docProps/app.xml><?xml version="1.0" encoding="utf-8"?>
<Properties xmlns="http://schemas.openxmlformats.org/officeDocument/2006/extended-properties" xmlns:vt="http://schemas.openxmlformats.org/officeDocument/2006/docPropsVTypes">
  <Company>JLL</Company>
  <Application>Microsoft Excel</Application>
  <HeadingPairs>
    <vt:vector size="2" baseType="variant">
      <vt:variant>
        <vt:lpstr>工作表</vt:lpstr>
      </vt:variant>
      <vt:variant>
        <vt:i4>6</vt:i4>
      </vt:variant>
    </vt:vector>
  </HeadingPairs>
  <TitlesOfParts>
    <vt:vector size="6" baseType="lpstr">
      <vt:lpstr>Clean</vt:lpstr>
      <vt:lpstr>金融服务</vt:lpstr>
      <vt:lpstr>专业服务</vt:lpstr>
      <vt:lpstr>零售</vt:lpstr>
      <vt:lpstr>科技互联网</vt:lpstr>
      <vt:lpstr>制造</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Feng, Finn</dc:creator>
  <cp:lastModifiedBy>Jioa</cp:lastModifiedBy>
  <dcterms:created xsi:type="dcterms:W3CDTF">2024-09-02T07:45:00Z</dcterms:created>
  <dcterms:modified xsi:type="dcterms:W3CDTF">2026-01-26T09:41:59Z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ReadingLayout">
    <vt:bool>true</vt:bool>
  </property>
  <property fmtid="{D5CDD505-2E9C-101B-9397-08002B2CF9AE}" pid="3" name="ICV">
    <vt:lpwstr>7980A02257344A71B36FCA71F090CAE3_13</vt:lpwstr>
  </property>
  <property fmtid="{D5CDD505-2E9C-101B-9397-08002B2CF9AE}" pid="4" name="KSOProductBuildVer">
    <vt:lpwstr>2052-12.1.0.23542</vt:lpwstr>
  </property>
</Properties>
</file>